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set" sheetId="1" state="visible" r:id="rId2"/>
    <sheet name="SUM, COUNT, AVERAGE" sheetId="2" state="visible" r:id="rId3"/>
    <sheet name="MIN AND MAX" sheetId="3" state="visible" r:id="rId4"/>
    <sheet name="IF FUNCTIONS" sheetId="4" state="visible" r:id="rId5"/>
    <sheet name="SUMIF AND COUNT IF " sheetId="5" state="visible" r:id="rId6"/>
    <sheet name="LEFT, RIGHT AND MID" sheetId="6" state="visible" r:id="rId7"/>
  </sheets>
  <definedNames>
    <definedName function="false" hidden="true" localSheetId="3" name="_xlnm._FilterDatabase" vbProcedure="false">'IF FUNCTIONS'!$A$1:$G$35</definedName>
    <definedName function="false" hidden="true" localSheetId="2" name="_xlnm._FilterDatabase" vbProcedure="false">'MIN AND MAX'!$A$1:$F$36</definedName>
    <definedName function="false" hidden="true" localSheetId="1" name="_xlnm._FilterDatabase" vbProcedure="false">'SUM, COUNT, AVERAGE'!$A$1:$G$36</definedName>
    <definedName function="false" hidden="true" localSheetId="4" name="_xlnm._FilterDatabase" vbProcedure="false">'SUMIF AND COUNT IF '!$A$1:$F$35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<sst xmlns="http://schemas.openxmlformats.org/spreadsheetml/2006/main" count="899" uniqueCount="102">
  <si>
    <t xml:space="preserve">Product ID</t>
  </si>
  <si>
    <t xml:space="preserve">Product Name</t>
  </si>
  <si>
    <t xml:space="preserve">Brand Name</t>
  </si>
  <si>
    <t xml:space="preserve">Price ($)</t>
  </si>
  <si>
    <t xml:space="preserve">Quantity</t>
  </si>
  <si>
    <t xml:space="preserve">Category</t>
  </si>
  <si>
    <t xml:space="preserve">28-JAN-US</t>
  </si>
  <si>
    <t xml:space="preserve">Laptop</t>
  </si>
  <si>
    <t xml:space="preserve">Dell</t>
  </si>
  <si>
    <t xml:space="preserve">Electronics</t>
  </si>
  <si>
    <t xml:space="preserve">15-FEB-US</t>
  </si>
  <si>
    <t xml:space="preserve">Sneakers</t>
  </si>
  <si>
    <t xml:space="preserve">Nike</t>
  </si>
  <si>
    <t xml:space="preserve">Fashion</t>
  </si>
  <si>
    <t xml:space="preserve">03-MAR-US</t>
  </si>
  <si>
    <t xml:space="preserve">Coffee Maker</t>
  </si>
  <si>
    <t xml:space="preserve">Keurig</t>
  </si>
  <si>
    <t xml:space="preserve">Kitchen</t>
  </si>
  <si>
    <t xml:space="preserve">11-APR-US</t>
  </si>
  <si>
    <t xml:space="preserve">Smartphone</t>
  </si>
  <si>
    <t xml:space="preserve">Samsung</t>
  </si>
  <si>
    <t xml:space="preserve">22-MAY-US</t>
  </si>
  <si>
    <t xml:space="preserve">Backpack</t>
  </si>
  <si>
    <t xml:space="preserve">North Face</t>
  </si>
  <si>
    <t xml:space="preserve">Outdoor</t>
  </si>
  <si>
    <t xml:space="preserve">07-JUN-UK</t>
  </si>
  <si>
    <t xml:space="preserve">Headphones</t>
  </si>
  <si>
    <t xml:space="preserve">Sony</t>
  </si>
  <si>
    <t xml:space="preserve">19-JUL-UK</t>
  </si>
  <si>
    <t xml:space="preserve">T-shirt</t>
  </si>
  <si>
    <t xml:space="preserve">Adidas</t>
  </si>
  <si>
    <t xml:space="preserve">23-AUG-UK</t>
  </si>
  <si>
    <t xml:space="preserve">Blender</t>
  </si>
  <si>
    <t xml:space="preserve">Ninja</t>
  </si>
  <si>
    <t xml:space="preserve">05-SEP-UK</t>
  </si>
  <si>
    <t xml:space="preserve">Tablet</t>
  </si>
  <si>
    <t xml:space="preserve">Apple</t>
  </si>
  <si>
    <t xml:space="preserve">14-OCT-UK</t>
  </si>
  <si>
    <t xml:space="preserve">Hiking Boots</t>
  </si>
  <si>
    <t xml:space="preserve">Timberland</t>
  </si>
  <si>
    <t xml:space="preserve">17-JUN-IN</t>
  </si>
  <si>
    <t xml:space="preserve">HP</t>
  </si>
  <si>
    <t xml:space="preserve">25-NOV-AU</t>
  </si>
  <si>
    <t xml:space="preserve">08-DEC-DE</t>
  </si>
  <si>
    <t xml:space="preserve">Nespresso</t>
  </si>
  <si>
    <t xml:space="preserve">18-FEB-CA</t>
  </si>
  <si>
    <t xml:space="preserve">Smartwatch</t>
  </si>
  <si>
    <t xml:space="preserve">Fitbit</t>
  </si>
  <si>
    <t xml:space="preserve">16-APR-ES</t>
  </si>
  <si>
    <t xml:space="preserve">Bose</t>
  </si>
  <si>
    <t xml:space="preserve">21-AUG-CA</t>
  </si>
  <si>
    <t xml:space="preserve">Laptop Bag</t>
  </si>
  <si>
    <t xml:space="preserve">Samsonite</t>
  </si>
  <si>
    <t xml:space="preserve">Accessories</t>
  </si>
  <si>
    <t xml:space="preserve">20-AUG-CN</t>
  </si>
  <si>
    <t xml:space="preserve">Huawei</t>
  </si>
  <si>
    <t xml:space="preserve">27-JAN-IT</t>
  </si>
  <si>
    <t xml:space="preserve">Asus</t>
  </si>
  <si>
    <t xml:space="preserve">01-MAR-UK</t>
  </si>
  <si>
    <t xml:space="preserve">Sunglasses</t>
  </si>
  <si>
    <t xml:space="preserve">Oakley</t>
  </si>
  <si>
    <t xml:space="preserve">14-AUG-US</t>
  </si>
  <si>
    <t xml:space="preserve">Camping Tent</t>
  </si>
  <si>
    <t xml:space="preserve">Coleman</t>
  </si>
  <si>
    <t xml:space="preserve">14-MAY-RU</t>
  </si>
  <si>
    <t xml:space="preserve">Camera</t>
  </si>
  <si>
    <t xml:space="preserve">Nikon</t>
  </si>
  <si>
    <t xml:space="preserve">09-JAN-CA</t>
  </si>
  <si>
    <t xml:space="preserve">Microwave</t>
  </si>
  <si>
    <t xml:space="preserve">Panasonic</t>
  </si>
  <si>
    <t xml:space="preserve">19-JUL-BR</t>
  </si>
  <si>
    <t xml:space="preserve">Fitness Tracker</t>
  </si>
  <si>
    <t xml:space="preserve">Xiaomi</t>
  </si>
  <si>
    <t xml:space="preserve">29-SEP-CA</t>
  </si>
  <si>
    <t xml:space="preserve">Google</t>
  </si>
  <si>
    <t xml:space="preserve">03-JUN-CA</t>
  </si>
  <si>
    <t xml:space="preserve">Ray-Ban</t>
  </si>
  <si>
    <t xml:space="preserve">11-JUL-CA</t>
  </si>
  <si>
    <t xml:space="preserve">Vitamix</t>
  </si>
  <si>
    <t xml:space="preserve">07-MAR-CA</t>
  </si>
  <si>
    <t xml:space="preserve">Dress</t>
  </si>
  <si>
    <t xml:space="preserve">Zara</t>
  </si>
  <si>
    <t xml:space="preserve">13-APR-CA</t>
  </si>
  <si>
    <t xml:space="preserve">Toaster</t>
  </si>
  <si>
    <t xml:space="preserve">Hamilton</t>
  </si>
  <si>
    <t xml:space="preserve">24-MAY-CA</t>
  </si>
  <si>
    <t xml:space="preserve">Garmin</t>
  </si>
  <si>
    <t xml:space="preserve">02-DEC-CA</t>
  </si>
  <si>
    <t xml:space="preserve">Jeans</t>
  </si>
  <si>
    <t xml:space="preserve">Levi's</t>
  </si>
  <si>
    <t xml:space="preserve">09-JUL-FR</t>
  </si>
  <si>
    <t xml:space="preserve">Watch</t>
  </si>
  <si>
    <t xml:space="preserve">Casio</t>
  </si>
  <si>
    <t xml:space="preserve">Price ($) Avarage</t>
  </si>
  <si>
    <t xml:space="preserve">Total products</t>
  </si>
  <si>
    <t xml:space="preserve">Count</t>
  </si>
  <si>
    <t xml:space="preserve">PRICE RANGE</t>
  </si>
  <si>
    <t xml:space="preserve">SUM IF </t>
  </si>
  <si>
    <t xml:space="preserve">COUNT IF</t>
  </si>
  <si>
    <t xml:space="preserve">DAY</t>
  </si>
  <si>
    <t xml:space="preserve">COUNTRY CODE</t>
  </si>
  <si>
    <t xml:space="preserve">MONTH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</si>
</sst>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0"/>
    </font>
    <font>
      <b val="true"/>
      <sz val="18"/>
      <color rgb="FF000000"/>
      <name val="Arial"/>
      <family val="0"/>
    </font>
    <font>
      <b val="true"/>
      <sz val="12"/>
      <color rgb="FF000000"/>
      <name val="Arial"/>
      <family val="0"/>
    </font>
    <font>
      <sz val="10"/>
      <color rgb="FF333333"/>
      <name val="Arial"/>
      <family val="0"/>
    </font>
    <font>
      <i val="true"/>
      <sz val="10"/>
      <color rgb="FF808080"/>
      <name val="Arial"/>
      <family val="0"/>
    </font>
    <font>
      <u val="single"/>
      <sz val="10"/>
      <color rgb="FF0000EE"/>
      <name val="Arial"/>
      <family val="0"/>
    </font>
    <font>
      <sz val="10"/>
      <color rgb="FF006600"/>
      <name val="Arial"/>
      <family val="0"/>
    </font>
    <font>
      <sz val="10"/>
      <color rgb="FF996600"/>
      <name val="Arial"/>
      <family val="0"/>
    </font>
    <font>
      <sz val="10"/>
      <color rgb="FFCC0000"/>
      <name val="Arial"/>
      <family val="0"/>
    </font>
    <font>
      <b val="true"/>
      <sz val="10"/>
      <color rgb="FFFFFFFF"/>
      <name val="Arial"/>
      <family val="0"/>
    </font>
    <font>
      <b val="true"/>
      <sz val="10"/>
      <color rgb="FF000000"/>
      <name val="Arial"/>
      <family val="0"/>
    </font>
    <font>
      <b val="true"/>
      <i val="true"/>
      <u val="single"/>
      <sz val="10"/>
      <color rgb="FF000000"/>
      <name val="Arial"/>
      <family val="0"/>
    </font>
    <font>
      <b val="true"/>
      <sz val="11"/>
      <color rgb="FF000000"/>
      <name val="Arial"/>
      <family val="0"/>
    </font>
    <font>
      <sz val="11"/>
      <color rgb="FF000000"/>
      <name val="Arial"/>
      <family val="0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0F7FA"/>
      </patternFill>
    </fill>
    <fill>
      <patternFill patternType="solid">
        <fgColor rgb="FF4DD0E1"/>
        <bgColor rgb="FF99CCFF"/>
      </patternFill>
    </fill>
    <fill>
      <patternFill patternType="solid">
        <fgColor rgb="FFE0F7FA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6" borderId="0" applyFont="true" applyBorder="false" applyAlignment="true" applyProtection="false">
      <alignment horizontal="general" vertical="bottom" textRotation="0" wrapText="false" indent="0" shrinkToFit="false"/>
    </xf>
    <xf numFmtId="164" fontId="13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4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  <cellStyle name="Result" xfId="37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0F7FA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4DD0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2.62"/>
    <col collapsed="false" customWidth="true" hidden="false" outlineLevel="0" max="2" min="2" style="0" width="14.11"/>
    <col collapsed="false" customWidth="true" hidden="false" outlineLevel="0" max="1025" min="3" style="0" width="12.62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customFormat="false" ht="15.75" hidden="false" customHeight="true" outlineLevel="0" collapsed="false">
      <c r="A2" s="3" t="s">
        <v>6</v>
      </c>
      <c r="B2" s="3" t="s">
        <v>7</v>
      </c>
      <c r="C2" s="3" t="s">
        <v>8</v>
      </c>
      <c r="D2" s="3" t="n">
        <v>1000</v>
      </c>
      <c r="E2" s="3" t="n">
        <v>30</v>
      </c>
      <c r="F2" s="3" t="s">
        <v>9</v>
      </c>
      <c r="G2" s="3"/>
    </row>
    <row r="3" customFormat="false" ht="15.75" hidden="false" customHeight="true" outlineLevel="0" collapsed="false">
      <c r="A3" s="4" t="s">
        <v>10</v>
      </c>
      <c r="B3" s="4" t="s">
        <v>11</v>
      </c>
      <c r="C3" s="4" t="s">
        <v>12</v>
      </c>
      <c r="D3" s="4" t="n">
        <v>80</v>
      </c>
      <c r="E3" s="4" t="n">
        <v>15</v>
      </c>
      <c r="F3" s="4" t="s">
        <v>13</v>
      </c>
      <c r="G3" s="3"/>
    </row>
    <row r="4" customFormat="false" ht="15.75" hidden="false" customHeight="true" outlineLevel="0" collapsed="false">
      <c r="A4" s="3" t="s">
        <v>14</v>
      </c>
      <c r="B4" s="3" t="s">
        <v>15</v>
      </c>
      <c r="C4" s="3" t="s">
        <v>16</v>
      </c>
      <c r="D4" s="3" t="n">
        <v>130</v>
      </c>
      <c r="E4" s="3" t="n">
        <v>40</v>
      </c>
      <c r="F4" s="3" t="s">
        <v>17</v>
      </c>
      <c r="G4" s="3"/>
    </row>
    <row r="5" customFormat="false" ht="15.75" hidden="false" customHeight="true" outlineLevel="0" collapsed="false">
      <c r="A5" s="4" t="s">
        <v>18</v>
      </c>
      <c r="B5" s="4" t="s">
        <v>19</v>
      </c>
      <c r="C5" s="4" t="s">
        <v>20</v>
      </c>
      <c r="D5" s="4" t="n">
        <v>900</v>
      </c>
      <c r="E5" s="4" t="n">
        <v>25</v>
      </c>
      <c r="F5" s="4" t="s">
        <v>9</v>
      </c>
      <c r="G5" s="3"/>
    </row>
    <row r="6" customFormat="false" ht="15.75" hidden="false" customHeight="true" outlineLevel="0" collapsed="false">
      <c r="A6" s="3" t="s">
        <v>21</v>
      </c>
      <c r="B6" s="3" t="s">
        <v>22</v>
      </c>
      <c r="C6" s="3" t="s">
        <v>23</v>
      </c>
      <c r="D6" s="3" t="n">
        <v>70</v>
      </c>
      <c r="E6" s="3" t="n">
        <v>20</v>
      </c>
      <c r="F6" s="3" t="s">
        <v>24</v>
      </c>
      <c r="G6" s="3"/>
    </row>
    <row r="7" customFormat="false" ht="15.75" hidden="false" customHeight="true" outlineLevel="0" collapsed="false">
      <c r="A7" s="4" t="s">
        <v>25</v>
      </c>
      <c r="B7" s="4" t="s">
        <v>26</v>
      </c>
      <c r="C7" s="4" t="s">
        <v>27</v>
      </c>
      <c r="D7" s="4" t="n">
        <v>200</v>
      </c>
      <c r="E7" s="4" t="n">
        <v>45</v>
      </c>
      <c r="F7" s="4" t="s">
        <v>9</v>
      </c>
      <c r="G7" s="3"/>
    </row>
    <row r="8" customFormat="false" ht="15.75" hidden="false" customHeight="true" outlineLevel="0" collapsed="false">
      <c r="A8" s="3" t="s">
        <v>28</v>
      </c>
      <c r="B8" s="3" t="s">
        <v>29</v>
      </c>
      <c r="C8" s="3" t="s">
        <v>30</v>
      </c>
      <c r="D8" s="3" t="n">
        <v>30</v>
      </c>
      <c r="E8" s="3" t="n">
        <v>5</v>
      </c>
      <c r="F8" s="3" t="s">
        <v>13</v>
      </c>
      <c r="G8" s="3"/>
    </row>
    <row r="9" customFormat="false" ht="15.75" hidden="false" customHeight="true" outlineLevel="0" collapsed="false">
      <c r="A9" s="4" t="s">
        <v>31</v>
      </c>
      <c r="B9" s="4" t="s">
        <v>32</v>
      </c>
      <c r="C9" s="4" t="s">
        <v>33</v>
      </c>
      <c r="D9" s="4" t="n">
        <v>90</v>
      </c>
      <c r="E9" s="4" t="n">
        <v>35</v>
      </c>
      <c r="F9" s="4" t="s">
        <v>17</v>
      </c>
      <c r="G9" s="3"/>
    </row>
    <row r="10" customFormat="false" ht="15.75" hidden="false" customHeight="true" outlineLevel="0" collapsed="false">
      <c r="A10" s="3" t="s">
        <v>34</v>
      </c>
      <c r="B10" s="3" t="s">
        <v>35</v>
      </c>
      <c r="C10" s="3" t="s">
        <v>36</v>
      </c>
      <c r="D10" s="3" t="n">
        <v>500</v>
      </c>
      <c r="E10" s="3" t="n">
        <v>50</v>
      </c>
      <c r="F10" s="3" t="s">
        <v>9</v>
      </c>
      <c r="G10" s="3"/>
    </row>
    <row r="11" customFormat="false" ht="15.75" hidden="false" customHeight="true" outlineLevel="0" collapsed="false">
      <c r="A11" s="4" t="s">
        <v>37</v>
      </c>
      <c r="B11" s="4" t="s">
        <v>38</v>
      </c>
      <c r="C11" s="4" t="s">
        <v>39</v>
      </c>
      <c r="D11" s="4" t="n">
        <v>130</v>
      </c>
      <c r="E11" s="4" t="n">
        <v>10</v>
      </c>
      <c r="F11" s="4" t="s">
        <v>24</v>
      </c>
      <c r="G11" s="3"/>
    </row>
    <row r="12" customFormat="false" ht="15.75" hidden="false" customHeight="true" outlineLevel="0" collapsed="false">
      <c r="A12" s="3" t="s">
        <v>40</v>
      </c>
      <c r="B12" s="3" t="s">
        <v>7</v>
      </c>
      <c r="C12" s="3" t="s">
        <v>41</v>
      </c>
      <c r="D12" s="3" t="n">
        <v>950</v>
      </c>
      <c r="E12" s="3" t="n">
        <v>25</v>
      </c>
      <c r="F12" s="3" t="s">
        <v>9</v>
      </c>
      <c r="G12" s="3"/>
    </row>
    <row r="13" customFormat="false" ht="15.75" hidden="false" customHeight="true" outlineLevel="0" collapsed="false">
      <c r="A13" s="4" t="s">
        <v>42</v>
      </c>
      <c r="B13" s="4" t="s">
        <v>11</v>
      </c>
      <c r="C13" s="4" t="s">
        <v>30</v>
      </c>
      <c r="D13" s="4" t="n">
        <v>90</v>
      </c>
      <c r="E13" s="4" t="n">
        <v>40</v>
      </c>
      <c r="F13" s="4" t="s">
        <v>13</v>
      </c>
      <c r="G13" s="3"/>
    </row>
    <row r="14" customFormat="false" ht="15.75" hidden="false" customHeight="true" outlineLevel="0" collapsed="false">
      <c r="A14" s="3" t="s">
        <v>43</v>
      </c>
      <c r="B14" s="3" t="s">
        <v>15</v>
      </c>
      <c r="C14" s="3" t="s">
        <v>44</v>
      </c>
      <c r="D14" s="3" t="n">
        <v>120</v>
      </c>
      <c r="E14" s="3" t="n">
        <v>35</v>
      </c>
      <c r="F14" s="3" t="s">
        <v>17</v>
      </c>
      <c r="G14" s="3"/>
    </row>
    <row r="15" customFormat="false" ht="15.75" hidden="false" customHeight="true" outlineLevel="0" collapsed="false">
      <c r="A15" s="4" t="s">
        <v>45</v>
      </c>
      <c r="B15" s="4" t="s">
        <v>46</v>
      </c>
      <c r="C15" s="4" t="s">
        <v>47</v>
      </c>
      <c r="D15" s="4" t="n">
        <v>150</v>
      </c>
      <c r="E15" s="4" t="n">
        <v>15</v>
      </c>
      <c r="F15" s="4" t="s">
        <v>9</v>
      </c>
      <c r="G15" s="3"/>
    </row>
    <row r="16" customFormat="false" ht="15.75" hidden="false" customHeight="true" outlineLevel="0" collapsed="false">
      <c r="A16" s="3" t="s">
        <v>48</v>
      </c>
      <c r="B16" s="3" t="s">
        <v>26</v>
      </c>
      <c r="C16" s="3" t="s">
        <v>49</v>
      </c>
      <c r="D16" s="3" t="n">
        <v>250</v>
      </c>
      <c r="E16" s="3" t="n">
        <v>20</v>
      </c>
      <c r="F16" s="3" t="s">
        <v>9</v>
      </c>
      <c r="G16" s="3"/>
    </row>
    <row r="17" customFormat="false" ht="15.75" hidden="false" customHeight="true" outlineLevel="0" collapsed="false">
      <c r="A17" s="4" t="s">
        <v>50</v>
      </c>
      <c r="B17" s="4" t="s">
        <v>51</v>
      </c>
      <c r="C17" s="4" t="s">
        <v>52</v>
      </c>
      <c r="D17" s="4" t="n">
        <v>50</v>
      </c>
      <c r="E17" s="4" t="n">
        <v>35</v>
      </c>
      <c r="F17" s="4" t="s">
        <v>53</v>
      </c>
      <c r="G17" s="3"/>
    </row>
    <row r="18" customFormat="false" ht="15.75" hidden="false" customHeight="true" outlineLevel="0" collapsed="false">
      <c r="A18" s="3" t="s">
        <v>54</v>
      </c>
      <c r="B18" s="3" t="s">
        <v>46</v>
      </c>
      <c r="C18" s="3" t="s">
        <v>55</v>
      </c>
      <c r="D18" s="3" t="n">
        <v>160</v>
      </c>
      <c r="E18" s="3" t="n">
        <v>15</v>
      </c>
      <c r="F18" s="3" t="s">
        <v>9</v>
      </c>
      <c r="G18" s="3"/>
    </row>
    <row r="19" customFormat="false" ht="15.75" hidden="false" customHeight="true" outlineLevel="0" collapsed="false">
      <c r="A19" s="4" t="s">
        <v>56</v>
      </c>
      <c r="B19" s="4" t="s">
        <v>7</v>
      </c>
      <c r="C19" s="4" t="s">
        <v>57</v>
      </c>
      <c r="D19" s="4" t="n">
        <v>980</v>
      </c>
      <c r="E19" s="4" t="n">
        <v>10</v>
      </c>
      <c r="F19" s="4" t="s">
        <v>9</v>
      </c>
      <c r="G19" s="3"/>
    </row>
    <row r="20" customFormat="false" ht="15.75" hidden="false" customHeight="true" outlineLevel="0" collapsed="false">
      <c r="A20" s="3" t="s">
        <v>58</v>
      </c>
      <c r="B20" s="3" t="s">
        <v>59</v>
      </c>
      <c r="C20" s="3" t="s">
        <v>60</v>
      </c>
      <c r="D20" s="3" t="n">
        <v>150</v>
      </c>
      <c r="E20" s="3" t="n">
        <v>15</v>
      </c>
      <c r="F20" s="3" t="s">
        <v>13</v>
      </c>
      <c r="G20" s="3"/>
    </row>
    <row r="21" customFormat="false" ht="15.75" hidden="false" customHeight="true" outlineLevel="0" collapsed="false">
      <c r="A21" s="4" t="s">
        <v>61</v>
      </c>
      <c r="B21" s="4" t="s">
        <v>62</v>
      </c>
      <c r="C21" s="4" t="s">
        <v>63</v>
      </c>
      <c r="D21" s="4" t="n">
        <v>200</v>
      </c>
      <c r="E21" s="4" t="n">
        <v>10</v>
      </c>
      <c r="F21" s="4" t="s">
        <v>24</v>
      </c>
      <c r="G21" s="3"/>
    </row>
    <row r="22" customFormat="false" ht="15.75" hidden="false" customHeight="true" outlineLevel="0" collapsed="false">
      <c r="A22" s="3" t="s">
        <v>64</v>
      </c>
      <c r="B22" s="3" t="s">
        <v>65</v>
      </c>
      <c r="C22" s="3" t="s">
        <v>66</v>
      </c>
      <c r="D22" s="3" t="n">
        <v>700</v>
      </c>
      <c r="E22" s="3" t="n">
        <v>50</v>
      </c>
      <c r="F22" s="3" t="s">
        <v>9</v>
      </c>
      <c r="G22" s="3"/>
    </row>
    <row r="23" customFormat="false" ht="15.75" hidden="false" customHeight="true" outlineLevel="0" collapsed="false">
      <c r="A23" s="4" t="s">
        <v>67</v>
      </c>
      <c r="B23" s="4" t="s">
        <v>68</v>
      </c>
      <c r="C23" s="4" t="s">
        <v>69</v>
      </c>
      <c r="D23" s="4" t="n">
        <v>80</v>
      </c>
      <c r="E23" s="4" t="n">
        <v>20</v>
      </c>
      <c r="F23" s="4" t="s">
        <v>17</v>
      </c>
      <c r="G23" s="3"/>
    </row>
    <row r="24" customFormat="false" ht="15.75" hidden="false" customHeight="true" outlineLevel="0" collapsed="false">
      <c r="A24" s="3" t="s">
        <v>70</v>
      </c>
      <c r="B24" s="3" t="s">
        <v>71</v>
      </c>
      <c r="C24" s="3" t="s">
        <v>72</v>
      </c>
      <c r="D24" s="3" t="n">
        <v>150</v>
      </c>
      <c r="E24" s="3" t="n">
        <v>30</v>
      </c>
      <c r="F24" s="3" t="s">
        <v>9</v>
      </c>
      <c r="G24" s="3"/>
    </row>
    <row r="25" customFormat="false" ht="15.75" hidden="false" customHeight="true" outlineLevel="0" collapsed="false">
      <c r="A25" s="4" t="s">
        <v>50</v>
      </c>
      <c r="B25" s="4" t="s">
        <v>51</v>
      </c>
      <c r="C25" s="4" t="s">
        <v>52</v>
      </c>
      <c r="D25" s="4" t="n">
        <v>50</v>
      </c>
      <c r="E25" s="4" t="n">
        <v>35</v>
      </c>
      <c r="F25" s="4" t="s">
        <v>53</v>
      </c>
      <c r="G25" s="5"/>
    </row>
    <row r="26" customFormat="false" ht="15.75" hidden="false" customHeight="true" outlineLevel="0" collapsed="false">
      <c r="A26" s="3" t="s">
        <v>73</v>
      </c>
      <c r="B26" s="3" t="s">
        <v>19</v>
      </c>
      <c r="C26" s="3" t="s">
        <v>74</v>
      </c>
      <c r="D26" s="3" t="n">
        <v>800</v>
      </c>
      <c r="E26" s="3" t="n">
        <v>45</v>
      </c>
      <c r="F26" s="3" t="s">
        <v>9</v>
      </c>
      <c r="G26" s="3"/>
    </row>
    <row r="27" customFormat="false" ht="15.75" hidden="false" customHeight="true" outlineLevel="0" collapsed="false">
      <c r="A27" s="4" t="s">
        <v>75</v>
      </c>
      <c r="B27" s="4" t="s">
        <v>59</v>
      </c>
      <c r="C27" s="4" t="s">
        <v>76</v>
      </c>
      <c r="D27" s="4" t="n">
        <v>130</v>
      </c>
      <c r="E27" s="4" t="n">
        <v>25</v>
      </c>
      <c r="F27" s="4" t="s">
        <v>13</v>
      </c>
      <c r="G27" s="3"/>
    </row>
    <row r="28" customFormat="false" ht="15.75" hidden="false" customHeight="true" outlineLevel="0" collapsed="false">
      <c r="A28" s="3" t="s">
        <v>77</v>
      </c>
      <c r="B28" s="3" t="s">
        <v>32</v>
      </c>
      <c r="C28" s="3" t="s">
        <v>78</v>
      </c>
      <c r="D28" s="3" t="n">
        <v>400</v>
      </c>
      <c r="E28" s="3" t="n">
        <v>40</v>
      </c>
      <c r="F28" s="3" t="s">
        <v>17</v>
      </c>
      <c r="G28" s="3"/>
    </row>
    <row r="29" customFormat="false" ht="15.75" hidden="false" customHeight="true" outlineLevel="0" collapsed="false">
      <c r="A29" s="4" t="s">
        <v>48</v>
      </c>
      <c r="B29" s="4" t="s">
        <v>26</v>
      </c>
      <c r="C29" s="4" t="s">
        <v>49</v>
      </c>
      <c r="D29" s="4" t="n">
        <v>230</v>
      </c>
      <c r="E29" s="4" t="n">
        <v>20</v>
      </c>
      <c r="F29" s="4" t="s">
        <v>9</v>
      </c>
      <c r="G29" s="5"/>
    </row>
    <row r="30" customFormat="false" ht="15.75" hidden="false" customHeight="true" outlineLevel="0" collapsed="false">
      <c r="A30" s="3" t="s">
        <v>79</v>
      </c>
      <c r="B30" s="3" t="s">
        <v>80</v>
      </c>
      <c r="C30" s="3" t="s">
        <v>81</v>
      </c>
      <c r="D30" s="3" t="n">
        <v>60</v>
      </c>
      <c r="E30" s="3" t="n">
        <v>30</v>
      </c>
      <c r="F30" s="3" t="s">
        <v>13</v>
      </c>
      <c r="G30" s="3"/>
    </row>
    <row r="31" customFormat="false" ht="15.75" hidden="false" customHeight="true" outlineLevel="0" collapsed="false">
      <c r="A31" s="4" t="s">
        <v>82</v>
      </c>
      <c r="B31" s="4" t="s">
        <v>83</v>
      </c>
      <c r="C31" s="4" t="s">
        <v>84</v>
      </c>
      <c r="D31" s="4" t="n">
        <v>40</v>
      </c>
      <c r="E31" s="4" t="n">
        <v>10</v>
      </c>
      <c r="F31" s="4" t="s">
        <v>17</v>
      </c>
      <c r="G31" s="3"/>
    </row>
    <row r="32" customFormat="false" ht="15.75" hidden="false" customHeight="true" outlineLevel="0" collapsed="false">
      <c r="A32" s="3" t="s">
        <v>85</v>
      </c>
      <c r="B32" s="3" t="s">
        <v>71</v>
      </c>
      <c r="C32" s="3" t="s">
        <v>86</v>
      </c>
      <c r="D32" s="3" t="n">
        <v>130</v>
      </c>
      <c r="E32" s="3" t="n">
        <v>5</v>
      </c>
      <c r="F32" s="3" t="s">
        <v>9</v>
      </c>
      <c r="G32" s="3"/>
    </row>
    <row r="33" customFormat="false" ht="15.75" hidden="false" customHeight="true" outlineLevel="0" collapsed="false">
      <c r="A33" s="4" t="s">
        <v>87</v>
      </c>
      <c r="B33" s="4" t="s">
        <v>88</v>
      </c>
      <c r="C33" s="4" t="s">
        <v>89</v>
      </c>
      <c r="D33" s="4" t="n">
        <v>50</v>
      </c>
      <c r="E33" s="4" t="n">
        <v>50</v>
      </c>
      <c r="F33" s="4" t="s">
        <v>13</v>
      </c>
      <c r="G33" s="3"/>
    </row>
    <row r="34" customFormat="false" ht="15.75" hidden="false" customHeight="true" outlineLevel="0" collapsed="false">
      <c r="A34" s="3" t="s">
        <v>40</v>
      </c>
      <c r="B34" s="3" t="s">
        <v>7</v>
      </c>
      <c r="C34" s="3" t="s">
        <v>41</v>
      </c>
      <c r="D34" s="3" t="n">
        <v>950</v>
      </c>
      <c r="E34" s="3" t="n">
        <v>25</v>
      </c>
      <c r="F34" s="3" t="s">
        <v>9</v>
      </c>
      <c r="G34" s="3"/>
    </row>
    <row r="35" customFormat="false" ht="15.75" hidden="false" customHeight="true" outlineLevel="0" collapsed="false">
      <c r="A35" s="4" t="s">
        <v>90</v>
      </c>
      <c r="B35" s="4" t="s">
        <v>91</v>
      </c>
      <c r="C35" s="4" t="s">
        <v>92</v>
      </c>
      <c r="D35" s="4" t="n">
        <v>100</v>
      </c>
      <c r="E35" s="4" t="n">
        <v>20</v>
      </c>
      <c r="F35" s="4" t="s">
        <v>53</v>
      </c>
      <c r="G35" s="3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2.1"/>
    <col collapsed="false" customWidth="true" hidden="false" outlineLevel="0" max="2" min="2" style="0" width="14.92"/>
    <col collapsed="false" customWidth="true" hidden="false" outlineLevel="0" max="3" min="3" style="0" width="13.1"/>
    <col collapsed="false" customWidth="true" hidden="false" outlineLevel="0" max="4" min="4" style="0" width="9.2"/>
    <col collapsed="false" customWidth="true" hidden="false" outlineLevel="0" max="5" min="5" style="0" width="9.29"/>
    <col collapsed="false" customWidth="true" hidden="false" outlineLevel="0" max="6" min="6" style="0" width="12.1"/>
    <col collapsed="false" customWidth="true" hidden="false" outlineLevel="0" max="7" min="7" style="0" width="18.29"/>
    <col collapsed="false" customWidth="true" hidden="false" outlineLevel="0" max="9" min="8" style="0" width="14.92"/>
    <col collapsed="false" customWidth="false" hidden="false" outlineLevel="0" max="1025" min="10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93</v>
      </c>
      <c r="H1" s="1" t="s">
        <v>1</v>
      </c>
      <c r="I1" s="1" t="s">
        <v>94</v>
      </c>
      <c r="J1" s="1" t="s">
        <v>95</v>
      </c>
    </row>
    <row r="2" customFormat="false" ht="13.8" hidden="false" customHeight="false" outlineLevel="0" collapsed="false">
      <c r="A2" s="3" t="s">
        <v>6</v>
      </c>
      <c r="B2" s="3" t="s">
        <v>7</v>
      </c>
      <c r="C2" s="3" t="s">
        <v>8</v>
      </c>
      <c r="D2" s="3" t="n">
        <v>1000</v>
      </c>
      <c r="E2" s="3" t="n">
        <v>30</v>
      </c>
      <c r="F2" s="3" t="s">
        <v>9</v>
      </c>
      <c r="G2" s="3" t="n">
        <v>1000</v>
      </c>
      <c r="H2" s="3" t="s">
        <v>7</v>
      </c>
      <c r="I2" s="3" t="e">
        <f aca="false" t="array" ref="I2:I22">com.microsoft.unique(H2:H35)</f>
        <v>#NAME?</v>
      </c>
      <c r="J2" s="3" t="e">
        <f aca="false">COUNTIF($H$2:$H$35, I2)</f>
        <v>#NAME?</v>
      </c>
    </row>
    <row r="3" customFormat="false" ht="13.8" hidden="false" customHeight="false" outlineLevel="0" collapsed="false">
      <c r="A3" s="4" t="s">
        <v>10</v>
      </c>
      <c r="B3" s="4" t="s">
        <v>11</v>
      </c>
      <c r="C3" s="4" t="s">
        <v>12</v>
      </c>
      <c r="D3" s="4" t="n">
        <v>80</v>
      </c>
      <c r="E3" s="4" t="n">
        <v>15</v>
      </c>
      <c r="F3" s="4" t="s">
        <v>13</v>
      </c>
      <c r="G3" s="4" t="n">
        <v>80</v>
      </c>
      <c r="H3" s="4" t="s">
        <v>11</v>
      </c>
      <c r="I3" s="4" t="e">
        <v>#NAME?</v>
      </c>
      <c r="J3" s="3" t="e">
        <f aca="false">COUNTIF($H$2:$H$35, I3)</f>
        <v>#NAME?</v>
      </c>
    </row>
    <row r="4" customFormat="false" ht="13.8" hidden="false" customHeight="false" outlineLevel="0" collapsed="false">
      <c r="A4" s="3" t="s">
        <v>14</v>
      </c>
      <c r="B4" s="3" t="s">
        <v>15</v>
      </c>
      <c r="C4" s="3" t="s">
        <v>16</v>
      </c>
      <c r="D4" s="3" t="n">
        <v>130</v>
      </c>
      <c r="E4" s="3" t="n">
        <v>40</v>
      </c>
      <c r="F4" s="3" t="s">
        <v>17</v>
      </c>
      <c r="G4" s="3" t="n">
        <v>130</v>
      </c>
      <c r="H4" s="3" t="s">
        <v>15</v>
      </c>
      <c r="I4" s="3" t="e">
        <v>#NAME?</v>
      </c>
      <c r="J4" s="3" t="e">
        <f aca="false">COUNTIF($H$2:$H$35, I4)</f>
        <v>#NAME?</v>
      </c>
    </row>
    <row r="5" customFormat="false" ht="13.8" hidden="false" customHeight="false" outlineLevel="0" collapsed="false">
      <c r="A5" s="4" t="s">
        <v>18</v>
      </c>
      <c r="B5" s="4" t="s">
        <v>19</v>
      </c>
      <c r="C5" s="4" t="s">
        <v>20</v>
      </c>
      <c r="D5" s="4" t="n">
        <v>900</v>
      </c>
      <c r="E5" s="4" t="n">
        <v>25</v>
      </c>
      <c r="F5" s="4" t="s">
        <v>9</v>
      </c>
      <c r="G5" s="4" t="n">
        <v>900</v>
      </c>
      <c r="H5" s="4" t="s">
        <v>19</v>
      </c>
      <c r="I5" s="4" t="e">
        <v>#NAME?</v>
      </c>
      <c r="J5" s="3" t="e">
        <f aca="false">COUNTIF($H$2:$H$35, I5)</f>
        <v>#NAME?</v>
      </c>
    </row>
    <row r="6" customFormat="false" ht="13.8" hidden="false" customHeight="false" outlineLevel="0" collapsed="false">
      <c r="A6" s="3" t="s">
        <v>21</v>
      </c>
      <c r="B6" s="3" t="s">
        <v>22</v>
      </c>
      <c r="C6" s="3" t="s">
        <v>23</v>
      </c>
      <c r="D6" s="3" t="n">
        <v>70</v>
      </c>
      <c r="E6" s="3" t="n">
        <v>20</v>
      </c>
      <c r="F6" s="3" t="s">
        <v>24</v>
      </c>
      <c r="G6" s="3" t="n">
        <v>70</v>
      </c>
      <c r="H6" s="3" t="s">
        <v>22</v>
      </c>
      <c r="I6" s="3" t="e">
        <v>#NAME?</v>
      </c>
      <c r="J6" s="3" t="e">
        <f aca="false">COUNTIF($H$2:$H$35, I6)</f>
        <v>#NAME?</v>
      </c>
    </row>
    <row r="7" customFormat="false" ht="13.8" hidden="false" customHeight="false" outlineLevel="0" collapsed="false">
      <c r="A7" s="4" t="s">
        <v>25</v>
      </c>
      <c r="B7" s="4" t="s">
        <v>26</v>
      </c>
      <c r="C7" s="4" t="s">
        <v>27</v>
      </c>
      <c r="D7" s="4" t="n">
        <v>200</v>
      </c>
      <c r="E7" s="4" t="n">
        <v>45</v>
      </c>
      <c r="F7" s="4" t="s">
        <v>9</v>
      </c>
      <c r="G7" s="4" t="n">
        <v>200</v>
      </c>
      <c r="H7" s="4" t="s">
        <v>26</v>
      </c>
      <c r="I7" s="4" t="e">
        <v>#NAME?</v>
      </c>
      <c r="J7" s="3" t="e">
        <f aca="false">COUNTIF($H$2:$H$35, I7)</f>
        <v>#NAME?</v>
      </c>
    </row>
    <row r="8" customFormat="false" ht="13.8" hidden="false" customHeight="false" outlineLevel="0" collapsed="false">
      <c r="A8" s="3" t="s">
        <v>28</v>
      </c>
      <c r="B8" s="3" t="s">
        <v>29</v>
      </c>
      <c r="C8" s="3" t="s">
        <v>30</v>
      </c>
      <c r="D8" s="3" t="n">
        <v>30</v>
      </c>
      <c r="E8" s="3" t="n">
        <v>5</v>
      </c>
      <c r="F8" s="3" t="s">
        <v>13</v>
      </c>
      <c r="G8" s="3" t="n">
        <v>30</v>
      </c>
      <c r="H8" s="3" t="s">
        <v>29</v>
      </c>
      <c r="I8" s="3" t="e">
        <v>#NAME?</v>
      </c>
      <c r="J8" s="3" t="e">
        <f aca="false">COUNTIF($H$2:$H$35, I8)</f>
        <v>#NAME?</v>
      </c>
    </row>
    <row r="9" customFormat="false" ht="13.8" hidden="false" customHeight="false" outlineLevel="0" collapsed="false">
      <c r="A9" s="4" t="s">
        <v>31</v>
      </c>
      <c r="B9" s="4" t="s">
        <v>32</v>
      </c>
      <c r="C9" s="4" t="s">
        <v>33</v>
      </c>
      <c r="D9" s="4" t="n">
        <v>90</v>
      </c>
      <c r="E9" s="4" t="n">
        <v>35</v>
      </c>
      <c r="F9" s="4" t="s">
        <v>17</v>
      </c>
      <c r="G9" s="4" t="n">
        <v>90</v>
      </c>
      <c r="H9" s="4" t="s">
        <v>32</v>
      </c>
      <c r="I9" s="4" t="e">
        <v>#NAME?</v>
      </c>
      <c r="J9" s="3" t="e">
        <f aca="false">COUNTIF($H$2:$H$35, I9)</f>
        <v>#NAME?</v>
      </c>
    </row>
    <row r="10" customFormat="false" ht="13.8" hidden="false" customHeight="false" outlineLevel="0" collapsed="false">
      <c r="A10" s="3" t="s">
        <v>34</v>
      </c>
      <c r="B10" s="3" t="s">
        <v>35</v>
      </c>
      <c r="C10" s="3" t="s">
        <v>36</v>
      </c>
      <c r="D10" s="3" t="n">
        <v>500</v>
      </c>
      <c r="E10" s="3" t="n">
        <v>50</v>
      </c>
      <c r="F10" s="3" t="s">
        <v>9</v>
      </c>
      <c r="G10" s="3" t="n">
        <v>500</v>
      </c>
      <c r="H10" s="3" t="s">
        <v>35</v>
      </c>
      <c r="I10" s="3" t="e">
        <v>#NAME?</v>
      </c>
      <c r="J10" s="3" t="e">
        <f aca="false">COUNTIF($H$2:$H$35, I10)</f>
        <v>#NAME?</v>
      </c>
    </row>
    <row r="11" customFormat="false" ht="13.8" hidden="false" customHeight="false" outlineLevel="0" collapsed="false">
      <c r="A11" s="4" t="s">
        <v>37</v>
      </c>
      <c r="B11" s="4" t="s">
        <v>38</v>
      </c>
      <c r="C11" s="4" t="s">
        <v>39</v>
      </c>
      <c r="D11" s="4" t="n">
        <v>130</v>
      </c>
      <c r="E11" s="4" t="n">
        <v>10</v>
      </c>
      <c r="F11" s="4" t="s">
        <v>24</v>
      </c>
      <c r="G11" s="4" t="n">
        <v>130</v>
      </c>
      <c r="H11" s="4" t="s">
        <v>38</v>
      </c>
      <c r="I11" s="4" t="e">
        <v>#NAME?</v>
      </c>
      <c r="J11" s="3" t="e">
        <f aca="false">COUNTIF($H$2:$H$35, I11)</f>
        <v>#NAME?</v>
      </c>
    </row>
    <row r="12" customFormat="false" ht="13.8" hidden="false" customHeight="false" outlineLevel="0" collapsed="false">
      <c r="A12" s="3" t="s">
        <v>40</v>
      </c>
      <c r="B12" s="3" t="s">
        <v>7</v>
      </c>
      <c r="C12" s="3" t="s">
        <v>41</v>
      </c>
      <c r="D12" s="3" t="n">
        <v>950</v>
      </c>
      <c r="E12" s="3" t="n">
        <v>25</v>
      </c>
      <c r="F12" s="3" t="s">
        <v>9</v>
      </c>
      <c r="G12" s="3" t="n">
        <v>950</v>
      </c>
      <c r="H12" s="3" t="s">
        <v>7</v>
      </c>
      <c r="I12" s="3" t="e">
        <v>#NAME?</v>
      </c>
      <c r="J12" s="3" t="e">
        <f aca="false">COUNTIF($H$2:$H$35, I12)</f>
        <v>#NAME?</v>
      </c>
    </row>
    <row r="13" customFormat="false" ht="13.8" hidden="false" customHeight="false" outlineLevel="0" collapsed="false">
      <c r="A13" s="4" t="s">
        <v>42</v>
      </c>
      <c r="B13" s="4" t="s">
        <v>11</v>
      </c>
      <c r="C13" s="4" t="s">
        <v>30</v>
      </c>
      <c r="D13" s="4" t="n">
        <v>90</v>
      </c>
      <c r="E13" s="4" t="n">
        <v>40</v>
      </c>
      <c r="F13" s="4" t="s">
        <v>13</v>
      </c>
      <c r="G13" s="4" t="n">
        <v>90</v>
      </c>
      <c r="H13" s="4" t="s">
        <v>11</v>
      </c>
      <c r="I13" s="4" t="e">
        <v>#NAME?</v>
      </c>
      <c r="J13" s="3" t="e">
        <f aca="false">COUNTIF($H$2:$H$35, I13)</f>
        <v>#NAME?</v>
      </c>
    </row>
    <row r="14" customFormat="false" ht="13.8" hidden="false" customHeight="false" outlineLevel="0" collapsed="false">
      <c r="A14" s="3" t="s">
        <v>43</v>
      </c>
      <c r="B14" s="3" t="s">
        <v>15</v>
      </c>
      <c r="C14" s="3" t="s">
        <v>44</v>
      </c>
      <c r="D14" s="3" t="n">
        <v>120</v>
      </c>
      <c r="E14" s="3" t="n">
        <v>35</v>
      </c>
      <c r="F14" s="3" t="s">
        <v>17</v>
      </c>
      <c r="G14" s="3" t="n">
        <v>120</v>
      </c>
      <c r="H14" s="3" t="s">
        <v>15</v>
      </c>
      <c r="I14" s="3" t="e">
        <v>#NAME?</v>
      </c>
      <c r="J14" s="3" t="e">
        <f aca="false">COUNTIF($H$2:$H$35, I14)</f>
        <v>#NAME?</v>
      </c>
    </row>
    <row r="15" customFormat="false" ht="13.8" hidden="false" customHeight="false" outlineLevel="0" collapsed="false">
      <c r="A15" s="4" t="s">
        <v>45</v>
      </c>
      <c r="B15" s="4" t="s">
        <v>46</v>
      </c>
      <c r="C15" s="4" t="s">
        <v>47</v>
      </c>
      <c r="D15" s="4" t="n">
        <v>150</v>
      </c>
      <c r="E15" s="4" t="n">
        <v>15</v>
      </c>
      <c r="F15" s="4" t="s">
        <v>9</v>
      </c>
      <c r="G15" s="4" t="n">
        <v>150</v>
      </c>
      <c r="H15" s="4" t="s">
        <v>46</v>
      </c>
      <c r="I15" s="4" t="e">
        <v>#NAME?</v>
      </c>
      <c r="J15" s="3" t="e">
        <f aca="false">COUNTIF($H$2:$H$35, I15)</f>
        <v>#NAME?</v>
      </c>
    </row>
    <row r="16" customFormat="false" ht="13.8" hidden="false" customHeight="false" outlineLevel="0" collapsed="false">
      <c r="A16" s="3" t="s">
        <v>48</v>
      </c>
      <c r="B16" s="3" t="s">
        <v>26</v>
      </c>
      <c r="C16" s="3" t="s">
        <v>49</v>
      </c>
      <c r="D16" s="3" t="n">
        <v>250</v>
      </c>
      <c r="E16" s="3" t="n">
        <v>20</v>
      </c>
      <c r="F16" s="3" t="s">
        <v>9</v>
      </c>
      <c r="G16" s="3" t="n">
        <v>250</v>
      </c>
      <c r="H16" s="3" t="s">
        <v>26</v>
      </c>
      <c r="I16" s="3" t="e">
        <v>#NAME?</v>
      </c>
      <c r="J16" s="3" t="e">
        <f aca="false">COUNTIF($H$2:$H$35, I16)</f>
        <v>#NAME?</v>
      </c>
    </row>
    <row r="17" customFormat="false" ht="13.8" hidden="false" customHeight="false" outlineLevel="0" collapsed="false">
      <c r="A17" s="4" t="s">
        <v>50</v>
      </c>
      <c r="B17" s="4" t="s">
        <v>51</v>
      </c>
      <c r="C17" s="4" t="s">
        <v>52</v>
      </c>
      <c r="D17" s="4" t="n">
        <v>50</v>
      </c>
      <c r="E17" s="4" t="n">
        <v>35</v>
      </c>
      <c r="F17" s="4" t="s">
        <v>53</v>
      </c>
      <c r="G17" s="4" t="n">
        <v>50</v>
      </c>
      <c r="H17" s="4" t="s">
        <v>51</v>
      </c>
      <c r="I17" s="4" t="e">
        <v>#NAME?</v>
      </c>
      <c r="J17" s="3" t="e">
        <f aca="false">COUNTIF($H$2:$H$35, I17)</f>
        <v>#NAME?</v>
      </c>
    </row>
    <row r="18" customFormat="false" ht="13.8" hidden="false" customHeight="false" outlineLevel="0" collapsed="false">
      <c r="A18" s="3" t="s">
        <v>54</v>
      </c>
      <c r="B18" s="3" t="s">
        <v>46</v>
      </c>
      <c r="C18" s="3" t="s">
        <v>55</v>
      </c>
      <c r="D18" s="3" t="n">
        <v>160</v>
      </c>
      <c r="E18" s="3" t="n">
        <v>15</v>
      </c>
      <c r="F18" s="3" t="s">
        <v>9</v>
      </c>
      <c r="G18" s="3" t="n">
        <v>160</v>
      </c>
      <c r="H18" s="3" t="s">
        <v>46</v>
      </c>
      <c r="I18" s="3" t="e">
        <v>#NAME?</v>
      </c>
      <c r="J18" s="3" t="e">
        <f aca="false">COUNTIF($H$2:$H$35, I18)</f>
        <v>#NAME?</v>
      </c>
    </row>
    <row r="19" customFormat="false" ht="13.8" hidden="false" customHeight="false" outlineLevel="0" collapsed="false">
      <c r="A19" s="4" t="s">
        <v>56</v>
      </c>
      <c r="B19" s="4" t="s">
        <v>7</v>
      </c>
      <c r="C19" s="4" t="s">
        <v>57</v>
      </c>
      <c r="D19" s="4" t="n">
        <v>980</v>
      </c>
      <c r="E19" s="4" t="n">
        <v>10</v>
      </c>
      <c r="F19" s="4" t="s">
        <v>9</v>
      </c>
      <c r="G19" s="4" t="n">
        <v>980</v>
      </c>
      <c r="H19" s="4" t="s">
        <v>7</v>
      </c>
      <c r="I19" s="4" t="e">
        <v>#NAME?</v>
      </c>
      <c r="J19" s="3" t="e">
        <f aca="false">COUNTIF($H$2:$H$35, I19)</f>
        <v>#NAME?</v>
      </c>
    </row>
    <row r="20" customFormat="false" ht="13.8" hidden="false" customHeight="false" outlineLevel="0" collapsed="false">
      <c r="A20" s="3" t="s">
        <v>58</v>
      </c>
      <c r="B20" s="3" t="s">
        <v>59</v>
      </c>
      <c r="C20" s="3" t="s">
        <v>60</v>
      </c>
      <c r="D20" s="3" t="n">
        <v>150</v>
      </c>
      <c r="E20" s="3" t="n">
        <v>15</v>
      </c>
      <c r="F20" s="3" t="s">
        <v>13</v>
      </c>
      <c r="G20" s="3" t="n">
        <v>150</v>
      </c>
      <c r="H20" s="3" t="s">
        <v>59</v>
      </c>
      <c r="I20" s="3" t="e">
        <v>#NAME?</v>
      </c>
      <c r="J20" s="3" t="e">
        <f aca="false">COUNTIF($H$2:$H$35, I20)</f>
        <v>#NAME?</v>
      </c>
    </row>
    <row r="21" customFormat="false" ht="13.8" hidden="false" customHeight="false" outlineLevel="0" collapsed="false">
      <c r="A21" s="4" t="s">
        <v>61</v>
      </c>
      <c r="B21" s="4" t="s">
        <v>62</v>
      </c>
      <c r="C21" s="4" t="s">
        <v>63</v>
      </c>
      <c r="D21" s="4" t="n">
        <v>200</v>
      </c>
      <c r="E21" s="4" t="n">
        <v>10</v>
      </c>
      <c r="F21" s="4" t="s">
        <v>24</v>
      </c>
      <c r="G21" s="4" t="n">
        <v>200</v>
      </c>
      <c r="H21" s="4" t="s">
        <v>62</v>
      </c>
      <c r="I21" s="4" t="e">
        <v>#NAME?</v>
      </c>
      <c r="J21" s="3" t="e">
        <f aca="false">COUNTIF($H$2:$H$35, I21)</f>
        <v>#NAME?</v>
      </c>
    </row>
    <row r="22" customFormat="false" ht="13.8" hidden="false" customHeight="false" outlineLevel="0" collapsed="false">
      <c r="A22" s="3" t="s">
        <v>64</v>
      </c>
      <c r="B22" s="3" t="s">
        <v>65</v>
      </c>
      <c r="C22" s="3" t="s">
        <v>66</v>
      </c>
      <c r="D22" s="3" t="n">
        <v>700</v>
      </c>
      <c r="E22" s="3" t="n">
        <v>50</v>
      </c>
      <c r="F22" s="3" t="s">
        <v>9</v>
      </c>
      <c r="G22" s="3" t="n">
        <v>700</v>
      </c>
      <c r="H22" s="3" t="s">
        <v>65</v>
      </c>
      <c r="I22" s="3" t="e">
        <v>#NAME?</v>
      </c>
      <c r="J22" s="3" t="e">
        <f aca="false">COUNTIF($H$2:$H$35, I22)</f>
        <v>#NAME?</v>
      </c>
    </row>
    <row r="23" customFormat="false" ht="13.8" hidden="false" customHeight="false" outlineLevel="0" collapsed="false">
      <c r="A23" s="4" t="s">
        <v>67</v>
      </c>
      <c r="B23" s="4" t="s">
        <v>68</v>
      </c>
      <c r="C23" s="4" t="s">
        <v>69</v>
      </c>
      <c r="D23" s="4" t="n">
        <v>80</v>
      </c>
      <c r="E23" s="4" t="n">
        <v>20</v>
      </c>
      <c r="F23" s="4" t="s">
        <v>17</v>
      </c>
      <c r="G23" s="4" t="n">
        <v>80</v>
      </c>
      <c r="H23" s="4" t="s">
        <v>68</v>
      </c>
      <c r="I23" s="4"/>
      <c r="J23" s="4"/>
    </row>
    <row r="24" customFormat="false" ht="13.8" hidden="false" customHeight="false" outlineLevel="0" collapsed="false">
      <c r="A24" s="3" t="s">
        <v>70</v>
      </c>
      <c r="B24" s="3" t="s">
        <v>71</v>
      </c>
      <c r="C24" s="3" t="s">
        <v>72</v>
      </c>
      <c r="D24" s="3" t="n">
        <v>150</v>
      </c>
      <c r="E24" s="3" t="n">
        <v>30</v>
      </c>
      <c r="F24" s="3" t="s">
        <v>9</v>
      </c>
      <c r="G24" s="3" t="n">
        <v>150</v>
      </c>
      <c r="H24" s="3" t="s">
        <v>71</v>
      </c>
      <c r="I24" s="3"/>
      <c r="J24" s="3"/>
    </row>
    <row r="25" customFormat="false" ht="13.8" hidden="false" customHeight="false" outlineLevel="0" collapsed="false">
      <c r="A25" s="4" t="s">
        <v>50</v>
      </c>
      <c r="B25" s="4" t="s">
        <v>51</v>
      </c>
      <c r="C25" s="4" t="s">
        <v>52</v>
      </c>
      <c r="D25" s="4" t="n">
        <v>50</v>
      </c>
      <c r="E25" s="4" t="n">
        <v>35</v>
      </c>
      <c r="F25" s="4" t="s">
        <v>53</v>
      </c>
      <c r="G25" s="4" t="n">
        <v>50</v>
      </c>
      <c r="H25" s="4" t="s">
        <v>51</v>
      </c>
      <c r="I25" s="4"/>
      <c r="J25" s="4"/>
    </row>
    <row r="26" customFormat="false" ht="13.8" hidden="false" customHeight="false" outlineLevel="0" collapsed="false">
      <c r="A26" s="3" t="s">
        <v>73</v>
      </c>
      <c r="B26" s="3" t="s">
        <v>19</v>
      </c>
      <c r="C26" s="3" t="s">
        <v>74</v>
      </c>
      <c r="D26" s="3" t="n">
        <v>800</v>
      </c>
      <c r="E26" s="3" t="n">
        <v>45</v>
      </c>
      <c r="F26" s="3" t="s">
        <v>9</v>
      </c>
      <c r="G26" s="3" t="n">
        <v>800</v>
      </c>
      <c r="H26" s="3" t="s">
        <v>19</v>
      </c>
      <c r="I26" s="3"/>
      <c r="J26" s="3"/>
    </row>
    <row r="27" customFormat="false" ht="13.8" hidden="false" customHeight="false" outlineLevel="0" collapsed="false">
      <c r="A27" s="4" t="s">
        <v>75</v>
      </c>
      <c r="B27" s="4" t="s">
        <v>59</v>
      </c>
      <c r="C27" s="4" t="s">
        <v>76</v>
      </c>
      <c r="D27" s="4" t="n">
        <v>130</v>
      </c>
      <c r="E27" s="4" t="n">
        <v>25</v>
      </c>
      <c r="F27" s="4" t="s">
        <v>13</v>
      </c>
      <c r="G27" s="4" t="n">
        <v>130</v>
      </c>
      <c r="H27" s="4" t="s">
        <v>59</v>
      </c>
      <c r="I27" s="4"/>
      <c r="J27" s="4"/>
    </row>
    <row r="28" customFormat="false" ht="13.8" hidden="false" customHeight="false" outlineLevel="0" collapsed="false">
      <c r="A28" s="3" t="s">
        <v>77</v>
      </c>
      <c r="B28" s="3" t="s">
        <v>32</v>
      </c>
      <c r="C28" s="3" t="s">
        <v>78</v>
      </c>
      <c r="D28" s="3" t="n">
        <v>400</v>
      </c>
      <c r="E28" s="3" t="n">
        <v>40</v>
      </c>
      <c r="F28" s="3" t="s">
        <v>17</v>
      </c>
      <c r="G28" s="3" t="n">
        <v>400</v>
      </c>
      <c r="H28" s="3" t="s">
        <v>32</v>
      </c>
      <c r="I28" s="3"/>
      <c r="J28" s="3"/>
    </row>
    <row r="29" customFormat="false" ht="13.8" hidden="false" customHeight="false" outlineLevel="0" collapsed="false">
      <c r="A29" s="4" t="s">
        <v>48</v>
      </c>
      <c r="B29" s="4" t="s">
        <v>26</v>
      </c>
      <c r="C29" s="4" t="s">
        <v>49</v>
      </c>
      <c r="D29" s="4" t="n">
        <v>230</v>
      </c>
      <c r="E29" s="4" t="n">
        <v>20</v>
      </c>
      <c r="F29" s="4" t="s">
        <v>9</v>
      </c>
      <c r="G29" s="4" t="n">
        <v>230</v>
      </c>
      <c r="H29" s="4" t="s">
        <v>26</v>
      </c>
      <c r="I29" s="4"/>
      <c r="J29" s="4"/>
    </row>
    <row r="30" customFormat="false" ht="13.8" hidden="false" customHeight="false" outlineLevel="0" collapsed="false">
      <c r="A30" s="3" t="s">
        <v>79</v>
      </c>
      <c r="B30" s="3" t="s">
        <v>80</v>
      </c>
      <c r="C30" s="3" t="s">
        <v>81</v>
      </c>
      <c r="D30" s="3" t="n">
        <v>60</v>
      </c>
      <c r="E30" s="3" t="n">
        <v>30</v>
      </c>
      <c r="F30" s="3" t="s">
        <v>13</v>
      </c>
      <c r="G30" s="3" t="n">
        <v>60</v>
      </c>
      <c r="H30" s="3" t="s">
        <v>80</v>
      </c>
      <c r="I30" s="3"/>
      <c r="J30" s="3"/>
    </row>
    <row r="31" customFormat="false" ht="13.8" hidden="false" customHeight="false" outlineLevel="0" collapsed="false">
      <c r="A31" s="4" t="s">
        <v>82</v>
      </c>
      <c r="B31" s="4" t="s">
        <v>83</v>
      </c>
      <c r="C31" s="4" t="s">
        <v>84</v>
      </c>
      <c r="D31" s="4" t="n">
        <v>40</v>
      </c>
      <c r="E31" s="4" t="n">
        <v>10</v>
      </c>
      <c r="F31" s="4" t="s">
        <v>17</v>
      </c>
      <c r="G31" s="4" t="n">
        <v>40</v>
      </c>
      <c r="H31" s="4" t="s">
        <v>83</v>
      </c>
      <c r="I31" s="4"/>
      <c r="J31" s="4"/>
    </row>
    <row r="32" customFormat="false" ht="13.8" hidden="false" customHeight="false" outlineLevel="0" collapsed="false">
      <c r="A32" s="3" t="s">
        <v>85</v>
      </c>
      <c r="B32" s="3" t="s">
        <v>71</v>
      </c>
      <c r="C32" s="3" t="s">
        <v>86</v>
      </c>
      <c r="D32" s="3" t="n">
        <v>130</v>
      </c>
      <c r="E32" s="3" t="n">
        <v>5</v>
      </c>
      <c r="F32" s="3" t="s">
        <v>9</v>
      </c>
      <c r="G32" s="3" t="n">
        <v>130</v>
      </c>
      <c r="H32" s="3" t="s">
        <v>71</v>
      </c>
      <c r="I32" s="3"/>
      <c r="J32" s="3"/>
    </row>
    <row r="33" customFormat="false" ht="13.8" hidden="false" customHeight="false" outlineLevel="0" collapsed="false">
      <c r="A33" s="4" t="s">
        <v>87</v>
      </c>
      <c r="B33" s="4" t="s">
        <v>88</v>
      </c>
      <c r="C33" s="4" t="s">
        <v>89</v>
      </c>
      <c r="D33" s="4" t="n">
        <v>50</v>
      </c>
      <c r="E33" s="4" t="n">
        <v>50</v>
      </c>
      <c r="F33" s="4" t="s">
        <v>13</v>
      </c>
      <c r="G33" s="4" t="n">
        <v>50</v>
      </c>
      <c r="H33" s="4" t="s">
        <v>88</v>
      </c>
      <c r="I33" s="4"/>
      <c r="J33" s="4"/>
    </row>
    <row r="34" customFormat="false" ht="13.8" hidden="false" customHeight="false" outlineLevel="0" collapsed="false">
      <c r="A34" s="3" t="s">
        <v>40</v>
      </c>
      <c r="B34" s="3" t="s">
        <v>7</v>
      </c>
      <c r="C34" s="3" t="s">
        <v>41</v>
      </c>
      <c r="D34" s="3" t="n">
        <v>950</v>
      </c>
      <c r="E34" s="3" t="n">
        <v>25</v>
      </c>
      <c r="F34" s="3" t="s">
        <v>9</v>
      </c>
      <c r="G34" s="3" t="n">
        <v>950</v>
      </c>
      <c r="H34" s="3" t="s">
        <v>7</v>
      </c>
      <c r="I34" s="3"/>
      <c r="J34" s="3"/>
    </row>
    <row r="35" customFormat="false" ht="13.8" hidden="false" customHeight="false" outlineLevel="0" collapsed="false">
      <c r="A35" s="4" t="s">
        <v>90</v>
      </c>
      <c r="B35" s="4" t="s">
        <v>91</v>
      </c>
      <c r="C35" s="4" t="s">
        <v>92</v>
      </c>
      <c r="D35" s="4" t="n">
        <v>100</v>
      </c>
      <c r="E35" s="4" t="n">
        <v>20</v>
      </c>
      <c r="F35" s="4" t="s">
        <v>53</v>
      </c>
      <c r="G35" s="4" t="n">
        <v>100</v>
      </c>
      <c r="H35" s="4" t="s">
        <v>91</v>
      </c>
      <c r="I35" s="4"/>
      <c r="J35" s="4"/>
    </row>
    <row r="36" customFormat="false" ht="13.8" hidden="false" customHeight="false" outlineLevel="0" collapsed="false">
      <c r="A36" s="4"/>
      <c r="B36" s="6" t="n">
        <f aca="false">COUNTA(B2:B35)</f>
        <v>34</v>
      </c>
      <c r="C36" s="4"/>
      <c r="D36" s="6" t="n">
        <f aca="false">SUM(D2:D35)</f>
        <v>10100</v>
      </c>
      <c r="E36" s="4"/>
      <c r="F36" s="4"/>
      <c r="G36" s="6" t="n">
        <f aca="false">AVERAGE(G2:G35)</f>
        <v>297.058823529412</v>
      </c>
      <c r="H36" s="6"/>
      <c r="I36" s="6"/>
      <c r="J36" s="6"/>
    </row>
    <row r="1048576" customFormat="false" ht="12.8" hidden="false" customHeight="false" outlineLevel="0" collapsed="false">
      <c r="D1048576" s="0" t="n">
        <f aca="false">SUM(D1:D1048575)</f>
        <v>20200</v>
      </c>
      <c r="G1048576" s="0" t="n">
        <f aca="false">SUM(G1:G1048575)</f>
        <v>10397.0588235294</v>
      </c>
    </row>
  </sheetData>
  <autoFilter ref="A1:G36"/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2.1"/>
    <col collapsed="false" customWidth="true" hidden="false" outlineLevel="0" max="2" min="2" style="0" width="14.92"/>
    <col collapsed="false" customWidth="true" hidden="false" outlineLevel="0" max="3" min="3" style="0" width="13.1"/>
    <col collapsed="false" customWidth="true" hidden="false" outlineLevel="0" max="4" min="4" style="0" width="9.2"/>
    <col collapsed="false" customWidth="true" hidden="false" outlineLevel="0" max="5" min="5" style="0" width="9.29"/>
    <col collapsed="false" customWidth="true" hidden="false" outlineLevel="0" max="6" min="6" style="0" width="12.1"/>
    <col collapsed="false" customWidth="true" hidden="false" outlineLevel="0" max="8" min="7" style="0" width="9.2"/>
    <col collapsed="false" customWidth="false" hidden="false" outlineLevel="0" max="1025" min="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3</v>
      </c>
    </row>
    <row r="2" customFormat="false" ht="13.8" hidden="false" customHeight="false" outlineLevel="0" collapsed="false">
      <c r="A2" s="3" t="s">
        <v>6</v>
      </c>
      <c r="B2" s="3" t="s">
        <v>7</v>
      </c>
      <c r="C2" s="3" t="s">
        <v>8</v>
      </c>
      <c r="D2" s="3" t="n">
        <v>1000</v>
      </c>
      <c r="E2" s="3" t="n">
        <v>30</v>
      </c>
      <c r="F2" s="3" t="s">
        <v>9</v>
      </c>
      <c r="G2" s="3" t="n">
        <v>1000</v>
      </c>
      <c r="H2" s="3" t="n">
        <v>1000</v>
      </c>
    </row>
    <row r="3" customFormat="false" ht="13.8" hidden="false" customHeight="false" outlineLevel="0" collapsed="false">
      <c r="A3" s="4" t="s">
        <v>10</v>
      </c>
      <c r="B3" s="4" t="s">
        <v>11</v>
      </c>
      <c r="C3" s="4" t="s">
        <v>12</v>
      </c>
      <c r="D3" s="4" t="n">
        <v>80</v>
      </c>
      <c r="E3" s="4" t="n">
        <v>15</v>
      </c>
      <c r="F3" s="4" t="s">
        <v>13</v>
      </c>
      <c r="G3" s="4" t="n">
        <v>80</v>
      </c>
      <c r="H3" s="4" t="n">
        <v>80</v>
      </c>
    </row>
    <row r="4" customFormat="false" ht="13.8" hidden="false" customHeight="false" outlineLevel="0" collapsed="false">
      <c r="A4" s="3" t="s">
        <v>14</v>
      </c>
      <c r="B4" s="3" t="s">
        <v>15</v>
      </c>
      <c r="C4" s="3" t="s">
        <v>16</v>
      </c>
      <c r="D4" s="3" t="n">
        <v>130</v>
      </c>
      <c r="E4" s="3" t="n">
        <v>40</v>
      </c>
      <c r="F4" s="3" t="s">
        <v>17</v>
      </c>
      <c r="G4" s="3" t="n">
        <v>130</v>
      </c>
      <c r="H4" s="3" t="n">
        <v>130</v>
      </c>
    </row>
    <row r="5" customFormat="false" ht="13.8" hidden="false" customHeight="false" outlineLevel="0" collapsed="false">
      <c r="A5" s="4" t="s">
        <v>18</v>
      </c>
      <c r="B5" s="4" t="s">
        <v>19</v>
      </c>
      <c r="C5" s="4" t="s">
        <v>20</v>
      </c>
      <c r="D5" s="4" t="n">
        <v>900</v>
      </c>
      <c r="E5" s="4" t="n">
        <v>25</v>
      </c>
      <c r="F5" s="4" t="s">
        <v>9</v>
      </c>
      <c r="G5" s="4" t="n">
        <v>900</v>
      </c>
      <c r="H5" s="4" t="n">
        <v>900</v>
      </c>
    </row>
    <row r="6" customFormat="false" ht="13.8" hidden="false" customHeight="false" outlineLevel="0" collapsed="false">
      <c r="A6" s="3" t="s">
        <v>21</v>
      </c>
      <c r="B6" s="3" t="s">
        <v>22</v>
      </c>
      <c r="C6" s="3" t="s">
        <v>23</v>
      </c>
      <c r="D6" s="3" t="n">
        <v>70</v>
      </c>
      <c r="E6" s="3" t="n">
        <v>20</v>
      </c>
      <c r="F6" s="3" t="s">
        <v>24</v>
      </c>
      <c r="G6" s="3" t="n">
        <v>70</v>
      </c>
      <c r="H6" s="3" t="n">
        <v>70</v>
      </c>
    </row>
    <row r="7" customFormat="false" ht="13.8" hidden="false" customHeight="false" outlineLevel="0" collapsed="false">
      <c r="A7" s="4" t="s">
        <v>25</v>
      </c>
      <c r="B7" s="4" t="s">
        <v>26</v>
      </c>
      <c r="C7" s="4" t="s">
        <v>27</v>
      </c>
      <c r="D7" s="4" t="n">
        <v>200</v>
      </c>
      <c r="E7" s="4" t="n">
        <v>45</v>
      </c>
      <c r="F7" s="4" t="s">
        <v>9</v>
      </c>
      <c r="G7" s="4" t="n">
        <v>200</v>
      </c>
      <c r="H7" s="4" t="n">
        <v>200</v>
      </c>
    </row>
    <row r="8" customFormat="false" ht="13.8" hidden="false" customHeight="false" outlineLevel="0" collapsed="false">
      <c r="A8" s="3" t="s">
        <v>28</v>
      </c>
      <c r="B8" s="3" t="s">
        <v>29</v>
      </c>
      <c r="C8" s="3" t="s">
        <v>30</v>
      </c>
      <c r="D8" s="3" t="n">
        <v>30</v>
      </c>
      <c r="E8" s="3" t="n">
        <v>5</v>
      </c>
      <c r="F8" s="3" t="s">
        <v>13</v>
      </c>
      <c r="G8" s="3" t="n">
        <v>30</v>
      </c>
      <c r="H8" s="3" t="n">
        <v>30</v>
      </c>
    </row>
    <row r="9" customFormat="false" ht="13.8" hidden="false" customHeight="false" outlineLevel="0" collapsed="false">
      <c r="A9" s="4" t="s">
        <v>31</v>
      </c>
      <c r="B9" s="4" t="s">
        <v>32</v>
      </c>
      <c r="C9" s="4" t="s">
        <v>33</v>
      </c>
      <c r="D9" s="4" t="n">
        <v>90</v>
      </c>
      <c r="E9" s="4" t="n">
        <v>35</v>
      </c>
      <c r="F9" s="4" t="s">
        <v>17</v>
      </c>
      <c r="G9" s="4" t="n">
        <v>90</v>
      </c>
      <c r="H9" s="4" t="n">
        <v>90</v>
      </c>
    </row>
    <row r="10" customFormat="false" ht="13.8" hidden="false" customHeight="false" outlineLevel="0" collapsed="false">
      <c r="A10" s="3" t="s">
        <v>34</v>
      </c>
      <c r="B10" s="3" t="s">
        <v>35</v>
      </c>
      <c r="C10" s="3" t="s">
        <v>36</v>
      </c>
      <c r="D10" s="3" t="n">
        <v>500</v>
      </c>
      <c r="E10" s="3" t="n">
        <v>50</v>
      </c>
      <c r="F10" s="3" t="s">
        <v>9</v>
      </c>
      <c r="G10" s="3" t="n">
        <v>500</v>
      </c>
      <c r="H10" s="3" t="n">
        <v>500</v>
      </c>
    </row>
    <row r="11" customFormat="false" ht="13.8" hidden="false" customHeight="false" outlineLevel="0" collapsed="false">
      <c r="A11" s="4" t="s">
        <v>37</v>
      </c>
      <c r="B11" s="4" t="s">
        <v>38</v>
      </c>
      <c r="C11" s="4" t="s">
        <v>39</v>
      </c>
      <c r="D11" s="4" t="n">
        <v>130</v>
      </c>
      <c r="E11" s="4" t="n">
        <v>10</v>
      </c>
      <c r="F11" s="4" t="s">
        <v>24</v>
      </c>
      <c r="G11" s="4" t="n">
        <v>130</v>
      </c>
      <c r="H11" s="4" t="n">
        <v>130</v>
      </c>
    </row>
    <row r="12" customFormat="false" ht="13.8" hidden="false" customHeight="false" outlineLevel="0" collapsed="false">
      <c r="A12" s="3" t="s">
        <v>40</v>
      </c>
      <c r="B12" s="3" t="s">
        <v>7</v>
      </c>
      <c r="C12" s="3" t="s">
        <v>41</v>
      </c>
      <c r="D12" s="3" t="n">
        <v>950</v>
      </c>
      <c r="E12" s="3" t="n">
        <v>25</v>
      </c>
      <c r="F12" s="3" t="s">
        <v>9</v>
      </c>
      <c r="G12" s="3" t="n">
        <v>950</v>
      </c>
      <c r="H12" s="3" t="n">
        <v>950</v>
      </c>
    </row>
    <row r="13" customFormat="false" ht="13.8" hidden="false" customHeight="false" outlineLevel="0" collapsed="false">
      <c r="A13" s="4" t="s">
        <v>42</v>
      </c>
      <c r="B13" s="4" t="s">
        <v>11</v>
      </c>
      <c r="C13" s="4" t="s">
        <v>30</v>
      </c>
      <c r="D13" s="4" t="n">
        <v>90</v>
      </c>
      <c r="E13" s="4" t="n">
        <v>40</v>
      </c>
      <c r="F13" s="4" t="s">
        <v>13</v>
      </c>
      <c r="G13" s="4" t="n">
        <v>90</v>
      </c>
      <c r="H13" s="4" t="n">
        <v>90</v>
      </c>
    </row>
    <row r="14" customFormat="false" ht="13.8" hidden="false" customHeight="false" outlineLevel="0" collapsed="false">
      <c r="A14" s="3" t="s">
        <v>43</v>
      </c>
      <c r="B14" s="3" t="s">
        <v>15</v>
      </c>
      <c r="C14" s="3" t="s">
        <v>44</v>
      </c>
      <c r="D14" s="3" t="n">
        <v>120</v>
      </c>
      <c r="E14" s="3" t="n">
        <v>35</v>
      </c>
      <c r="F14" s="3" t="s">
        <v>17</v>
      </c>
      <c r="G14" s="3" t="n">
        <v>120</v>
      </c>
      <c r="H14" s="3" t="n">
        <v>120</v>
      </c>
    </row>
    <row r="15" customFormat="false" ht="13.8" hidden="false" customHeight="false" outlineLevel="0" collapsed="false">
      <c r="A15" s="4" t="s">
        <v>45</v>
      </c>
      <c r="B15" s="4" t="s">
        <v>46</v>
      </c>
      <c r="C15" s="4" t="s">
        <v>47</v>
      </c>
      <c r="D15" s="4" t="n">
        <v>150</v>
      </c>
      <c r="E15" s="4" t="n">
        <v>15</v>
      </c>
      <c r="F15" s="4" t="s">
        <v>9</v>
      </c>
      <c r="G15" s="4" t="n">
        <v>150</v>
      </c>
      <c r="H15" s="4" t="n">
        <v>150</v>
      </c>
    </row>
    <row r="16" customFormat="false" ht="13.8" hidden="false" customHeight="false" outlineLevel="0" collapsed="false">
      <c r="A16" s="3" t="s">
        <v>48</v>
      </c>
      <c r="B16" s="3" t="s">
        <v>26</v>
      </c>
      <c r="C16" s="3" t="s">
        <v>49</v>
      </c>
      <c r="D16" s="3" t="n">
        <v>250</v>
      </c>
      <c r="E16" s="3" t="n">
        <v>20</v>
      </c>
      <c r="F16" s="3" t="s">
        <v>9</v>
      </c>
      <c r="G16" s="3" t="n">
        <v>250</v>
      </c>
      <c r="H16" s="3" t="n">
        <v>250</v>
      </c>
    </row>
    <row r="17" customFormat="false" ht="13.8" hidden="false" customHeight="false" outlineLevel="0" collapsed="false">
      <c r="A17" s="4" t="s">
        <v>50</v>
      </c>
      <c r="B17" s="4" t="s">
        <v>51</v>
      </c>
      <c r="C17" s="4" t="s">
        <v>52</v>
      </c>
      <c r="D17" s="4" t="n">
        <v>50</v>
      </c>
      <c r="E17" s="4" t="n">
        <v>35</v>
      </c>
      <c r="F17" s="4" t="s">
        <v>53</v>
      </c>
      <c r="G17" s="4" t="n">
        <v>50</v>
      </c>
      <c r="H17" s="4" t="n">
        <v>50</v>
      </c>
    </row>
    <row r="18" customFormat="false" ht="13.8" hidden="false" customHeight="false" outlineLevel="0" collapsed="false">
      <c r="A18" s="3" t="s">
        <v>54</v>
      </c>
      <c r="B18" s="3" t="s">
        <v>46</v>
      </c>
      <c r="C18" s="3" t="s">
        <v>55</v>
      </c>
      <c r="D18" s="3" t="n">
        <v>160</v>
      </c>
      <c r="E18" s="3" t="n">
        <v>15</v>
      </c>
      <c r="F18" s="3" t="s">
        <v>9</v>
      </c>
      <c r="G18" s="3" t="n">
        <v>160</v>
      </c>
      <c r="H18" s="3" t="n">
        <v>160</v>
      </c>
    </row>
    <row r="19" customFormat="false" ht="13.8" hidden="false" customHeight="false" outlineLevel="0" collapsed="false">
      <c r="A19" s="4" t="s">
        <v>56</v>
      </c>
      <c r="B19" s="4" t="s">
        <v>7</v>
      </c>
      <c r="C19" s="4" t="s">
        <v>57</v>
      </c>
      <c r="D19" s="4" t="n">
        <v>980</v>
      </c>
      <c r="E19" s="4" t="n">
        <v>10</v>
      </c>
      <c r="F19" s="4" t="s">
        <v>9</v>
      </c>
      <c r="G19" s="4" t="n">
        <v>980</v>
      </c>
      <c r="H19" s="4" t="n">
        <v>980</v>
      </c>
    </row>
    <row r="20" customFormat="false" ht="13.8" hidden="false" customHeight="false" outlineLevel="0" collapsed="false">
      <c r="A20" s="3" t="s">
        <v>58</v>
      </c>
      <c r="B20" s="3" t="s">
        <v>59</v>
      </c>
      <c r="C20" s="3" t="s">
        <v>60</v>
      </c>
      <c r="D20" s="3" t="n">
        <v>150</v>
      </c>
      <c r="E20" s="3" t="n">
        <v>15</v>
      </c>
      <c r="F20" s="3" t="s">
        <v>13</v>
      </c>
      <c r="G20" s="3" t="n">
        <v>150</v>
      </c>
      <c r="H20" s="3" t="n">
        <v>150</v>
      </c>
    </row>
    <row r="21" customFormat="false" ht="13.8" hidden="false" customHeight="false" outlineLevel="0" collapsed="false">
      <c r="A21" s="4" t="s">
        <v>61</v>
      </c>
      <c r="B21" s="4" t="s">
        <v>62</v>
      </c>
      <c r="C21" s="4" t="s">
        <v>63</v>
      </c>
      <c r="D21" s="4" t="n">
        <v>200</v>
      </c>
      <c r="E21" s="4" t="n">
        <v>10</v>
      </c>
      <c r="F21" s="4" t="s">
        <v>24</v>
      </c>
      <c r="G21" s="4" t="n">
        <v>200</v>
      </c>
      <c r="H21" s="4" t="n">
        <v>200</v>
      </c>
    </row>
    <row r="22" customFormat="false" ht="13.8" hidden="false" customHeight="false" outlineLevel="0" collapsed="false">
      <c r="A22" s="3" t="s">
        <v>64</v>
      </c>
      <c r="B22" s="3" t="s">
        <v>65</v>
      </c>
      <c r="C22" s="3" t="s">
        <v>66</v>
      </c>
      <c r="D22" s="3" t="n">
        <v>700</v>
      </c>
      <c r="E22" s="3" t="n">
        <v>50</v>
      </c>
      <c r="F22" s="3" t="s">
        <v>9</v>
      </c>
      <c r="G22" s="3" t="n">
        <v>700</v>
      </c>
      <c r="H22" s="3" t="n">
        <v>700</v>
      </c>
    </row>
    <row r="23" customFormat="false" ht="13.8" hidden="false" customHeight="false" outlineLevel="0" collapsed="false">
      <c r="A23" s="4" t="s">
        <v>67</v>
      </c>
      <c r="B23" s="4" t="s">
        <v>68</v>
      </c>
      <c r="C23" s="4" t="s">
        <v>69</v>
      </c>
      <c r="D23" s="4" t="n">
        <v>80</v>
      </c>
      <c r="E23" s="4" t="n">
        <v>20</v>
      </c>
      <c r="F23" s="4" t="s">
        <v>17</v>
      </c>
      <c r="G23" s="4" t="n">
        <v>80</v>
      </c>
      <c r="H23" s="4" t="n">
        <v>80</v>
      </c>
    </row>
    <row r="24" customFormat="false" ht="13.8" hidden="false" customHeight="false" outlineLevel="0" collapsed="false">
      <c r="A24" s="3" t="s">
        <v>70</v>
      </c>
      <c r="B24" s="3" t="s">
        <v>71</v>
      </c>
      <c r="C24" s="3" t="s">
        <v>72</v>
      </c>
      <c r="D24" s="3" t="n">
        <v>150</v>
      </c>
      <c r="E24" s="3" t="n">
        <v>30</v>
      </c>
      <c r="F24" s="3" t="s">
        <v>9</v>
      </c>
      <c r="G24" s="3" t="n">
        <v>150</v>
      </c>
      <c r="H24" s="3" t="n">
        <v>150</v>
      </c>
    </row>
    <row r="25" customFormat="false" ht="13.8" hidden="false" customHeight="false" outlineLevel="0" collapsed="false">
      <c r="A25" s="4" t="s">
        <v>50</v>
      </c>
      <c r="B25" s="4" t="s">
        <v>51</v>
      </c>
      <c r="C25" s="4" t="s">
        <v>52</v>
      </c>
      <c r="D25" s="4" t="n">
        <v>50</v>
      </c>
      <c r="E25" s="4" t="n">
        <v>35</v>
      </c>
      <c r="F25" s="4" t="s">
        <v>53</v>
      </c>
      <c r="G25" s="4" t="n">
        <v>50</v>
      </c>
      <c r="H25" s="4" t="n">
        <v>50</v>
      </c>
    </row>
    <row r="26" customFormat="false" ht="13.8" hidden="false" customHeight="false" outlineLevel="0" collapsed="false">
      <c r="A26" s="3" t="s">
        <v>73</v>
      </c>
      <c r="B26" s="3" t="s">
        <v>19</v>
      </c>
      <c r="C26" s="3" t="s">
        <v>74</v>
      </c>
      <c r="D26" s="3" t="n">
        <v>800</v>
      </c>
      <c r="E26" s="3" t="n">
        <v>45</v>
      </c>
      <c r="F26" s="3" t="s">
        <v>9</v>
      </c>
      <c r="G26" s="3" t="n">
        <v>800</v>
      </c>
      <c r="H26" s="3" t="n">
        <v>800</v>
      </c>
    </row>
    <row r="27" customFormat="false" ht="13.8" hidden="false" customHeight="false" outlineLevel="0" collapsed="false">
      <c r="A27" s="4" t="s">
        <v>75</v>
      </c>
      <c r="B27" s="4" t="s">
        <v>59</v>
      </c>
      <c r="C27" s="4" t="s">
        <v>76</v>
      </c>
      <c r="D27" s="4" t="n">
        <v>130</v>
      </c>
      <c r="E27" s="4" t="n">
        <v>25</v>
      </c>
      <c r="F27" s="4" t="s">
        <v>13</v>
      </c>
      <c r="G27" s="4" t="n">
        <v>130</v>
      </c>
      <c r="H27" s="4" t="n">
        <v>130</v>
      </c>
    </row>
    <row r="28" customFormat="false" ht="13.8" hidden="false" customHeight="false" outlineLevel="0" collapsed="false">
      <c r="A28" s="3" t="s">
        <v>77</v>
      </c>
      <c r="B28" s="3" t="s">
        <v>32</v>
      </c>
      <c r="C28" s="3" t="s">
        <v>78</v>
      </c>
      <c r="D28" s="3" t="n">
        <v>400</v>
      </c>
      <c r="E28" s="3" t="n">
        <v>40</v>
      </c>
      <c r="F28" s="3" t="s">
        <v>17</v>
      </c>
      <c r="G28" s="3" t="n">
        <v>400</v>
      </c>
      <c r="H28" s="3" t="n">
        <v>400</v>
      </c>
    </row>
    <row r="29" customFormat="false" ht="13.8" hidden="false" customHeight="false" outlineLevel="0" collapsed="false">
      <c r="A29" s="4" t="s">
        <v>48</v>
      </c>
      <c r="B29" s="4" t="s">
        <v>26</v>
      </c>
      <c r="C29" s="4" t="s">
        <v>49</v>
      </c>
      <c r="D29" s="4" t="n">
        <v>230</v>
      </c>
      <c r="E29" s="4" t="n">
        <v>20</v>
      </c>
      <c r="F29" s="4" t="s">
        <v>9</v>
      </c>
      <c r="G29" s="4" t="n">
        <v>230</v>
      </c>
      <c r="H29" s="4" t="n">
        <v>230</v>
      </c>
    </row>
    <row r="30" customFormat="false" ht="13.8" hidden="false" customHeight="false" outlineLevel="0" collapsed="false">
      <c r="A30" s="3" t="s">
        <v>79</v>
      </c>
      <c r="B30" s="3" t="s">
        <v>80</v>
      </c>
      <c r="C30" s="3" t="s">
        <v>81</v>
      </c>
      <c r="D30" s="3" t="n">
        <v>60</v>
      </c>
      <c r="E30" s="3" t="n">
        <v>30</v>
      </c>
      <c r="F30" s="3" t="s">
        <v>13</v>
      </c>
      <c r="G30" s="3" t="n">
        <v>60</v>
      </c>
      <c r="H30" s="3" t="n">
        <v>60</v>
      </c>
    </row>
    <row r="31" customFormat="false" ht="13.8" hidden="false" customHeight="false" outlineLevel="0" collapsed="false">
      <c r="A31" s="4" t="s">
        <v>82</v>
      </c>
      <c r="B31" s="4" t="s">
        <v>83</v>
      </c>
      <c r="C31" s="4" t="s">
        <v>84</v>
      </c>
      <c r="D31" s="4" t="n">
        <v>40</v>
      </c>
      <c r="E31" s="4" t="n">
        <v>10</v>
      </c>
      <c r="F31" s="4" t="s">
        <v>17</v>
      </c>
      <c r="G31" s="4" t="n">
        <v>40</v>
      </c>
      <c r="H31" s="4" t="n">
        <v>40</v>
      </c>
    </row>
    <row r="32" customFormat="false" ht="13.8" hidden="false" customHeight="false" outlineLevel="0" collapsed="false">
      <c r="A32" s="3" t="s">
        <v>85</v>
      </c>
      <c r="B32" s="3" t="s">
        <v>71</v>
      </c>
      <c r="C32" s="3" t="s">
        <v>86</v>
      </c>
      <c r="D32" s="3" t="n">
        <v>130</v>
      </c>
      <c r="E32" s="3" t="n">
        <v>5</v>
      </c>
      <c r="F32" s="3" t="s">
        <v>9</v>
      </c>
      <c r="G32" s="3" t="n">
        <v>130</v>
      </c>
      <c r="H32" s="3" t="n">
        <v>130</v>
      </c>
    </row>
    <row r="33" customFormat="false" ht="13.8" hidden="false" customHeight="false" outlineLevel="0" collapsed="false">
      <c r="A33" s="4" t="s">
        <v>87</v>
      </c>
      <c r="B33" s="4" t="s">
        <v>88</v>
      </c>
      <c r="C33" s="4" t="s">
        <v>89</v>
      </c>
      <c r="D33" s="4" t="n">
        <v>50</v>
      </c>
      <c r="E33" s="4" t="n">
        <v>50</v>
      </c>
      <c r="F33" s="4" t="s">
        <v>13</v>
      </c>
      <c r="G33" s="4" t="n">
        <v>50</v>
      </c>
      <c r="H33" s="4" t="n">
        <v>50</v>
      </c>
    </row>
    <row r="34" customFormat="false" ht="13.8" hidden="false" customHeight="false" outlineLevel="0" collapsed="false">
      <c r="A34" s="3" t="s">
        <v>40</v>
      </c>
      <c r="B34" s="3" t="s">
        <v>7</v>
      </c>
      <c r="C34" s="3" t="s">
        <v>41</v>
      </c>
      <c r="D34" s="3" t="n">
        <v>950</v>
      </c>
      <c r="E34" s="3" t="n">
        <v>25</v>
      </c>
      <c r="F34" s="3" t="s">
        <v>9</v>
      </c>
      <c r="G34" s="3" t="n">
        <v>950</v>
      </c>
      <c r="H34" s="3" t="n">
        <v>950</v>
      </c>
    </row>
    <row r="35" customFormat="false" ht="13.8" hidden="false" customHeight="false" outlineLevel="0" collapsed="false">
      <c r="A35" s="4" t="s">
        <v>90</v>
      </c>
      <c r="B35" s="4" t="s">
        <v>91</v>
      </c>
      <c r="C35" s="4" t="s">
        <v>92</v>
      </c>
      <c r="D35" s="4" t="n">
        <v>100</v>
      </c>
      <c r="E35" s="4" t="n">
        <v>20</v>
      </c>
      <c r="F35" s="4" t="s">
        <v>53</v>
      </c>
      <c r="G35" s="4" t="n">
        <v>100</v>
      </c>
      <c r="H35" s="4" t="n">
        <v>100</v>
      </c>
    </row>
    <row r="36" customFormat="false" ht="12.8" hidden="false" customHeight="false" outlineLevel="0" collapsed="false">
      <c r="G36" s="7" t="n">
        <f aca="false">MIN(G2:G35)</f>
        <v>30</v>
      </c>
      <c r="H36" s="7" t="n">
        <f aca="false">MAX(H2:H35)</f>
        <v>1000</v>
      </c>
    </row>
  </sheetData>
  <autoFilter ref="A1:F36"/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2.1"/>
    <col collapsed="false" customWidth="true" hidden="false" outlineLevel="0" max="2" min="2" style="0" width="14.92"/>
    <col collapsed="false" customWidth="true" hidden="false" outlineLevel="0" max="3" min="3" style="0" width="13.1"/>
    <col collapsed="false" customWidth="true" hidden="false" outlineLevel="0" max="4" min="4" style="0" width="9.2"/>
    <col collapsed="false" customWidth="true" hidden="false" outlineLevel="0" max="5" min="5" style="0" width="9.29"/>
    <col collapsed="false" customWidth="true" hidden="false" outlineLevel="0" max="6" min="6" style="0" width="12.1"/>
    <col collapsed="false" customWidth="true" hidden="false" outlineLevel="0" max="7" min="7" style="0" width="19.19"/>
    <col collapsed="false" customWidth="false" hidden="false" outlineLevel="0" max="1025" min="8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96</v>
      </c>
      <c r="H1" s="1"/>
    </row>
    <row r="2" customFormat="false" ht="13.8" hidden="false" customHeight="false" outlineLevel="0" collapsed="false">
      <c r="A2" s="3" t="s">
        <v>6</v>
      </c>
      <c r="B2" s="3" t="s">
        <v>7</v>
      </c>
      <c r="C2" s="3" t="s">
        <v>8</v>
      </c>
      <c r="D2" s="3" t="n">
        <v>1000</v>
      </c>
      <c r="E2" s="3" t="n">
        <v>30</v>
      </c>
      <c r="F2" s="3" t="s">
        <v>9</v>
      </c>
      <c r="G2" s="8" t="str">
        <f aca="false">_xlfn.IFS(D2&gt;=500, "HIGH PRICE", D2&lt;=500, "STANDARD PRICE")</f>
        <v>HIGH PRICE</v>
      </c>
      <c r="H2" s="3"/>
    </row>
    <row r="3" customFormat="false" ht="13.8" hidden="false" customHeight="false" outlineLevel="0" collapsed="false">
      <c r="A3" s="4" t="s">
        <v>10</v>
      </c>
      <c r="B3" s="4" t="s">
        <v>11</v>
      </c>
      <c r="C3" s="4" t="s">
        <v>12</v>
      </c>
      <c r="D3" s="4" t="n">
        <v>80</v>
      </c>
      <c r="E3" s="4" t="n">
        <v>15</v>
      </c>
      <c r="F3" s="4" t="s">
        <v>13</v>
      </c>
      <c r="G3" s="8" t="str">
        <f aca="false">_xlfn.IFS(D3&gt;=500, "HIGH PRICE", D3&lt;=500, "STANDARD PRICE")</f>
        <v>STANDARD PRICE</v>
      </c>
      <c r="H3" s="4"/>
    </row>
    <row r="4" customFormat="false" ht="13.8" hidden="false" customHeight="false" outlineLevel="0" collapsed="false">
      <c r="A4" s="3" t="s">
        <v>14</v>
      </c>
      <c r="B4" s="3" t="s">
        <v>15</v>
      </c>
      <c r="C4" s="3" t="s">
        <v>16</v>
      </c>
      <c r="D4" s="3" t="n">
        <v>130</v>
      </c>
      <c r="E4" s="3" t="n">
        <v>40</v>
      </c>
      <c r="F4" s="3" t="s">
        <v>17</v>
      </c>
      <c r="G4" s="8" t="str">
        <f aca="false">_xlfn.IFS(D4&gt;=500, "HIGH PRICE", D4&lt;=500, "STANDARD PRICE")</f>
        <v>STANDARD PRICE</v>
      </c>
      <c r="H4" s="3"/>
    </row>
    <row r="5" customFormat="false" ht="13.8" hidden="false" customHeight="false" outlineLevel="0" collapsed="false">
      <c r="A5" s="4" t="s">
        <v>18</v>
      </c>
      <c r="B5" s="4" t="s">
        <v>19</v>
      </c>
      <c r="C5" s="4" t="s">
        <v>20</v>
      </c>
      <c r="D5" s="4" t="n">
        <v>900</v>
      </c>
      <c r="E5" s="4" t="n">
        <v>25</v>
      </c>
      <c r="F5" s="4" t="s">
        <v>9</v>
      </c>
      <c r="G5" s="8" t="str">
        <f aca="false">_xlfn.IFS(D5&gt;=500, "HIGH PRICE", D5&lt;=500, "STANDARD PRICE")</f>
        <v>HIGH PRICE</v>
      </c>
      <c r="H5" s="4"/>
    </row>
    <row r="6" customFormat="false" ht="13.8" hidden="false" customHeight="false" outlineLevel="0" collapsed="false">
      <c r="A6" s="3" t="s">
        <v>21</v>
      </c>
      <c r="B6" s="3" t="s">
        <v>22</v>
      </c>
      <c r="C6" s="3" t="s">
        <v>23</v>
      </c>
      <c r="D6" s="3" t="n">
        <v>70</v>
      </c>
      <c r="E6" s="3" t="n">
        <v>20</v>
      </c>
      <c r="F6" s="3" t="s">
        <v>24</v>
      </c>
      <c r="G6" s="8" t="str">
        <f aca="false">_xlfn.IFS(D6&gt;=500, "HIGH PRICE", D6&lt;=500, "STANDARD PRICE")</f>
        <v>STANDARD PRICE</v>
      </c>
      <c r="H6" s="3"/>
    </row>
    <row r="7" customFormat="false" ht="13.8" hidden="false" customHeight="false" outlineLevel="0" collapsed="false">
      <c r="A7" s="4" t="s">
        <v>25</v>
      </c>
      <c r="B7" s="4" t="s">
        <v>26</v>
      </c>
      <c r="C7" s="4" t="s">
        <v>27</v>
      </c>
      <c r="D7" s="4" t="n">
        <v>200</v>
      </c>
      <c r="E7" s="4" t="n">
        <v>45</v>
      </c>
      <c r="F7" s="4" t="s">
        <v>9</v>
      </c>
      <c r="G7" s="8" t="str">
        <f aca="false">_xlfn.IFS(D7&gt;=500, "HIGH PRICE", D7&lt;=500, "STANDARD PRICE")</f>
        <v>STANDARD PRICE</v>
      </c>
      <c r="H7" s="4"/>
    </row>
    <row r="8" customFormat="false" ht="13.8" hidden="false" customHeight="false" outlineLevel="0" collapsed="false">
      <c r="A8" s="3" t="s">
        <v>28</v>
      </c>
      <c r="B8" s="3" t="s">
        <v>29</v>
      </c>
      <c r="C8" s="3" t="s">
        <v>30</v>
      </c>
      <c r="D8" s="3" t="n">
        <v>30</v>
      </c>
      <c r="E8" s="3" t="n">
        <v>5</v>
      </c>
      <c r="F8" s="3" t="s">
        <v>13</v>
      </c>
      <c r="G8" s="8" t="str">
        <f aca="false">_xlfn.IFS(D8&gt;=500, "HIGH PRICE", D8&lt;=500, "STANDARD PRICE")</f>
        <v>STANDARD PRICE</v>
      </c>
      <c r="H8" s="3"/>
    </row>
    <row r="9" customFormat="false" ht="13.8" hidden="false" customHeight="false" outlineLevel="0" collapsed="false">
      <c r="A9" s="4" t="s">
        <v>31</v>
      </c>
      <c r="B9" s="4" t="s">
        <v>32</v>
      </c>
      <c r="C9" s="4" t="s">
        <v>33</v>
      </c>
      <c r="D9" s="4" t="n">
        <v>90</v>
      </c>
      <c r="E9" s="4" t="n">
        <v>35</v>
      </c>
      <c r="F9" s="4" t="s">
        <v>17</v>
      </c>
      <c r="G9" s="8" t="str">
        <f aca="false">_xlfn.IFS(D9&gt;=500, "HIGH PRICE", D9&lt;=500, "STANDARD PRICE")</f>
        <v>STANDARD PRICE</v>
      </c>
      <c r="H9" s="4"/>
    </row>
    <row r="10" customFormat="false" ht="13.8" hidden="false" customHeight="false" outlineLevel="0" collapsed="false">
      <c r="A10" s="3" t="s">
        <v>34</v>
      </c>
      <c r="B10" s="3" t="s">
        <v>35</v>
      </c>
      <c r="C10" s="3" t="s">
        <v>36</v>
      </c>
      <c r="D10" s="3" t="n">
        <v>500</v>
      </c>
      <c r="E10" s="3" t="n">
        <v>50</v>
      </c>
      <c r="F10" s="3" t="s">
        <v>9</v>
      </c>
      <c r="G10" s="8" t="str">
        <f aca="false">_xlfn.IFS(D10&gt;=500, "HIGH PRICE", D10&lt;=500, "STANDARD PRICE")</f>
        <v>HIGH PRICE</v>
      </c>
      <c r="H10" s="3"/>
    </row>
    <row r="11" customFormat="false" ht="13.8" hidden="false" customHeight="false" outlineLevel="0" collapsed="false">
      <c r="A11" s="4" t="s">
        <v>37</v>
      </c>
      <c r="B11" s="4" t="s">
        <v>38</v>
      </c>
      <c r="C11" s="4" t="s">
        <v>39</v>
      </c>
      <c r="D11" s="4" t="n">
        <v>130</v>
      </c>
      <c r="E11" s="4" t="n">
        <v>10</v>
      </c>
      <c r="F11" s="4" t="s">
        <v>24</v>
      </c>
      <c r="G11" s="8" t="str">
        <f aca="false">_xlfn.IFS(D11&gt;=500, "HIGH PRICE", D11&lt;=500, "STANDARD PRICE")</f>
        <v>STANDARD PRICE</v>
      </c>
      <c r="H11" s="4"/>
    </row>
    <row r="12" customFormat="false" ht="13.8" hidden="false" customHeight="false" outlineLevel="0" collapsed="false">
      <c r="A12" s="3" t="s">
        <v>40</v>
      </c>
      <c r="B12" s="3" t="s">
        <v>7</v>
      </c>
      <c r="C12" s="3" t="s">
        <v>41</v>
      </c>
      <c r="D12" s="3" t="n">
        <v>950</v>
      </c>
      <c r="E12" s="3" t="n">
        <v>25</v>
      </c>
      <c r="F12" s="3" t="s">
        <v>9</v>
      </c>
      <c r="G12" s="8" t="str">
        <f aca="false">_xlfn.IFS(D12&gt;=500, "HIGH PRICE", D12&lt;=500, "STANDARD PRICE")</f>
        <v>HIGH PRICE</v>
      </c>
      <c r="H12" s="3"/>
    </row>
    <row r="13" customFormat="false" ht="13.8" hidden="false" customHeight="false" outlineLevel="0" collapsed="false">
      <c r="A13" s="4" t="s">
        <v>42</v>
      </c>
      <c r="B13" s="4" t="s">
        <v>11</v>
      </c>
      <c r="C13" s="4" t="s">
        <v>30</v>
      </c>
      <c r="D13" s="4" t="n">
        <v>90</v>
      </c>
      <c r="E13" s="4" t="n">
        <v>40</v>
      </c>
      <c r="F13" s="4" t="s">
        <v>13</v>
      </c>
      <c r="G13" s="8" t="str">
        <f aca="false">_xlfn.IFS(D13&gt;=500, "HIGH PRICE", D13&lt;=500, "STANDARD PRICE")</f>
        <v>STANDARD PRICE</v>
      </c>
      <c r="H13" s="4"/>
    </row>
    <row r="14" customFormat="false" ht="13.8" hidden="false" customHeight="false" outlineLevel="0" collapsed="false">
      <c r="A14" s="3" t="s">
        <v>43</v>
      </c>
      <c r="B14" s="3" t="s">
        <v>15</v>
      </c>
      <c r="C14" s="3" t="s">
        <v>44</v>
      </c>
      <c r="D14" s="3" t="n">
        <v>120</v>
      </c>
      <c r="E14" s="3" t="n">
        <v>35</v>
      </c>
      <c r="F14" s="3" t="s">
        <v>17</v>
      </c>
      <c r="G14" s="8" t="str">
        <f aca="false">_xlfn.IFS(D14&gt;=500, "HIGH PRICE", D14&lt;=500, "STANDARD PRICE")</f>
        <v>STANDARD PRICE</v>
      </c>
      <c r="H14" s="3"/>
    </row>
    <row r="15" customFormat="false" ht="13.8" hidden="false" customHeight="false" outlineLevel="0" collapsed="false">
      <c r="A15" s="4" t="s">
        <v>45</v>
      </c>
      <c r="B15" s="4" t="s">
        <v>46</v>
      </c>
      <c r="C15" s="4" t="s">
        <v>47</v>
      </c>
      <c r="D15" s="4" t="n">
        <v>150</v>
      </c>
      <c r="E15" s="4" t="n">
        <v>15</v>
      </c>
      <c r="F15" s="4" t="s">
        <v>9</v>
      </c>
      <c r="G15" s="8" t="str">
        <f aca="false">_xlfn.IFS(D15&gt;=500, "HIGH PRICE", D15&lt;=500, "STANDARD PRICE")</f>
        <v>STANDARD PRICE</v>
      </c>
      <c r="H15" s="4"/>
    </row>
    <row r="16" customFormat="false" ht="13.8" hidden="false" customHeight="false" outlineLevel="0" collapsed="false">
      <c r="A16" s="3" t="s">
        <v>48</v>
      </c>
      <c r="B16" s="3" t="s">
        <v>26</v>
      </c>
      <c r="C16" s="3" t="s">
        <v>49</v>
      </c>
      <c r="D16" s="3" t="n">
        <v>250</v>
      </c>
      <c r="E16" s="3" t="n">
        <v>20</v>
      </c>
      <c r="F16" s="3" t="s">
        <v>9</v>
      </c>
      <c r="G16" s="8" t="str">
        <f aca="false">_xlfn.IFS(D16&gt;=500, "HIGH PRICE", D16&lt;=500, "STANDARD PRICE")</f>
        <v>STANDARD PRICE</v>
      </c>
      <c r="H16" s="3"/>
    </row>
    <row r="17" customFormat="false" ht="13.8" hidden="false" customHeight="false" outlineLevel="0" collapsed="false">
      <c r="A17" s="4" t="s">
        <v>50</v>
      </c>
      <c r="B17" s="4" t="s">
        <v>51</v>
      </c>
      <c r="C17" s="4" t="s">
        <v>52</v>
      </c>
      <c r="D17" s="4" t="n">
        <v>50</v>
      </c>
      <c r="E17" s="4" t="n">
        <v>35</v>
      </c>
      <c r="F17" s="4" t="s">
        <v>53</v>
      </c>
      <c r="G17" s="8" t="str">
        <f aca="false">_xlfn.IFS(D17&gt;=500, "HIGH PRICE", D17&lt;=500, "STANDARD PRICE")</f>
        <v>STANDARD PRICE</v>
      </c>
      <c r="H17" s="4"/>
    </row>
    <row r="18" customFormat="false" ht="13.8" hidden="false" customHeight="false" outlineLevel="0" collapsed="false">
      <c r="A18" s="3" t="s">
        <v>54</v>
      </c>
      <c r="B18" s="3" t="s">
        <v>46</v>
      </c>
      <c r="C18" s="3" t="s">
        <v>55</v>
      </c>
      <c r="D18" s="3" t="n">
        <v>160</v>
      </c>
      <c r="E18" s="3" t="n">
        <v>15</v>
      </c>
      <c r="F18" s="3" t="s">
        <v>9</v>
      </c>
      <c r="G18" s="8" t="str">
        <f aca="false">_xlfn.IFS(D18&gt;=500, "HIGH PRICE", D18&lt;=500, "STANDARD PRICE")</f>
        <v>STANDARD PRICE</v>
      </c>
      <c r="H18" s="3"/>
    </row>
    <row r="19" customFormat="false" ht="13.8" hidden="false" customHeight="false" outlineLevel="0" collapsed="false">
      <c r="A19" s="4" t="s">
        <v>56</v>
      </c>
      <c r="B19" s="4" t="s">
        <v>7</v>
      </c>
      <c r="C19" s="4" t="s">
        <v>57</v>
      </c>
      <c r="D19" s="4" t="n">
        <v>980</v>
      </c>
      <c r="E19" s="4" t="n">
        <v>10</v>
      </c>
      <c r="F19" s="4" t="s">
        <v>9</v>
      </c>
      <c r="G19" s="8" t="str">
        <f aca="false">_xlfn.IFS(D19&gt;=500, "HIGH PRICE", D19&lt;=500, "STANDARD PRICE")</f>
        <v>HIGH PRICE</v>
      </c>
      <c r="H19" s="4"/>
    </row>
    <row r="20" customFormat="false" ht="13.8" hidden="false" customHeight="false" outlineLevel="0" collapsed="false">
      <c r="A20" s="3" t="s">
        <v>58</v>
      </c>
      <c r="B20" s="3" t="s">
        <v>59</v>
      </c>
      <c r="C20" s="3" t="s">
        <v>60</v>
      </c>
      <c r="D20" s="3" t="n">
        <v>150</v>
      </c>
      <c r="E20" s="3" t="n">
        <v>15</v>
      </c>
      <c r="F20" s="3" t="s">
        <v>13</v>
      </c>
      <c r="G20" s="8" t="str">
        <f aca="false">_xlfn.IFS(D20&gt;=500, "HIGH PRICE", D20&lt;=500, "STANDARD PRICE")</f>
        <v>STANDARD PRICE</v>
      </c>
      <c r="H20" s="3"/>
    </row>
    <row r="21" customFormat="false" ht="13.8" hidden="false" customHeight="false" outlineLevel="0" collapsed="false">
      <c r="A21" s="4" t="s">
        <v>61</v>
      </c>
      <c r="B21" s="4" t="s">
        <v>62</v>
      </c>
      <c r="C21" s="4" t="s">
        <v>63</v>
      </c>
      <c r="D21" s="4" t="n">
        <v>200</v>
      </c>
      <c r="E21" s="4" t="n">
        <v>10</v>
      </c>
      <c r="F21" s="4" t="s">
        <v>24</v>
      </c>
      <c r="G21" s="8" t="str">
        <f aca="false">_xlfn.IFS(D21&gt;=500, "HIGH PRICE", D21&lt;=500, "STANDARD PRICE")</f>
        <v>STANDARD PRICE</v>
      </c>
      <c r="H21" s="4"/>
    </row>
    <row r="22" customFormat="false" ht="13.8" hidden="false" customHeight="false" outlineLevel="0" collapsed="false">
      <c r="A22" s="3" t="s">
        <v>64</v>
      </c>
      <c r="B22" s="3" t="s">
        <v>65</v>
      </c>
      <c r="C22" s="3" t="s">
        <v>66</v>
      </c>
      <c r="D22" s="3" t="n">
        <v>700</v>
      </c>
      <c r="E22" s="3" t="n">
        <v>50</v>
      </c>
      <c r="F22" s="3" t="s">
        <v>9</v>
      </c>
      <c r="G22" s="8" t="str">
        <f aca="false">_xlfn.IFS(D22&gt;=500, "HIGH PRICE", D22&lt;=500, "STANDARD PRICE")</f>
        <v>HIGH PRICE</v>
      </c>
      <c r="H22" s="3"/>
    </row>
    <row r="23" customFormat="false" ht="13.8" hidden="false" customHeight="false" outlineLevel="0" collapsed="false">
      <c r="A23" s="4" t="s">
        <v>67</v>
      </c>
      <c r="B23" s="4" t="s">
        <v>68</v>
      </c>
      <c r="C23" s="4" t="s">
        <v>69</v>
      </c>
      <c r="D23" s="4" t="n">
        <v>80</v>
      </c>
      <c r="E23" s="4" t="n">
        <v>20</v>
      </c>
      <c r="F23" s="4" t="s">
        <v>17</v>
      </c>
      <c r="G23" s="8" t="str">
        <f aca="false">_xlfn.IFS(D23&gt;=500, "HIGH PRICE", D23&lt;=500, "STANDARD PRICE")</f>
        <v>STANDARD PRICE</v>
      </c>
      <c r="H23" s="4"/>
    </row>
    <row r="24" customFormat="false" ht="13.8" hidden="false" customHeight="false" outlineLevel="0" collapsed="false">
      <c r="A24" s="3" t="s">
        <v>70</v>
      </c>
      <c r="B24" s="3" t="s">
        <v>71</v>
      </c>
      <c r="C24" s="3" t="s">
        <v>72</v>
      </c>
      <c r="D24" s="3" t="n">
        <v>150</v>
      </c>
      <c r="E24" s="3" t="n">
        <v>30</v>
      </c>
      <c r="F24" s="3" t="s">
        <v>9</v>
      </c>
      <c r="G24" s="8" t="str">
        <f aca="false">_xlfn.IFS(D24&gt;=500, "HIGH PRICE", D24&lt;=500, "STANDARD PRICE")</f>
        <v>STANDARD PRICE</v>
      </c>
      <c r="H24" s="3"/>
    </row>
    <row r="25" customFormat="false" ht="13.8" hidden="false" customHeight="false" outlineLevel="0" collapsed="false">
      <c r="A25" s="4" t="s">
        <v>50</v>
      </c>
      <c r="B25" s="4" t="s">
        <v>51</v>
      </c>
      <c r="C25" s="4" t="s">
        <v>52</v>
      </c>
      <c r="D25" s="4" t="n">
        <v>50</v>
      </c>
      <c r="E25" s="4" t="n">
        <v>35</v>
      </c>
      <c r="F25" s="4" t="s">
        <v>53</v>
      </c>
      <c r="G25" s="8" t="str">
        <f aca="false">_xlfn.IFS(D25&gt;=500, "HIGH PRICE", D25&lt;=500, "STANDARD PRICE")</f>
        <v>STANDARD PRICE</v>
      </c>
      <c r="H25" s="4"/>
    </row>
    <row r="26" customFormat="false" ht="13.8" hidden="false" customHeight="false" outlineLevel="0" collapsed="false">
      <c r="A26" s="3" t="s">
        <v>73</v>
      </c>
      <c r="B26" s="3" t="s">
        <v>19</v>
      </c>
      <c r="C26" s="3" t="s">
        <v>74</v>
      </c>
      <c r="D26" s="3" t="n">
        <v>800</v>
      </c>
      <c r="E26" s="3" t="n">
        <v>45</v>
      </c>
      <c r="F26" s="3" t="s">
        <v>9</v>
      </c>
      <c r="G26" s="8" t="str">
        <f aca="false">_xlfn.IFS(D26&gt;=500, "HIGH PRICE", D26&lt;=500, "STANDARD PRICE")</f>
        <v>HIGH PRICE</v>
      </c>
      <c r="H26" s="3"/>
    </row>
    <row r="27" customFormat="false" ht="13.8" hidden="false" customHeight="false" outlineLevel="0" collapsed="false">
      <c r="A27" s="4" t="s">
        <v>75</v>
      </c>
      <c r="B27" s="4" t="s">
        <v>59</v>
      </c>
      <c r="C27" s="4" t="s">
        <v>76</v>
      </c>
      <c r="D27" s="4" t="n">
        <v>130</v>
      </c>
      <c r="E27" s="4" t="n">
        <v>25</v>
      </c>
      <c r="F27" s="4" t="s">
        <v>13</v>
      </c>
      <c r="G27" s="8" t="str">
        <f aca="false">_xlfn.IFS(D27&gt;=500, "HIGH PRICE", D27&lt;=500, "STANDARD PRICE")</f>
        <v>STANDARD PRICE</v>
      </c>
      <c r="H27" s="4"/>
    </row>
    <row r="28" customFormat="false" ht="13.8" hidden="false" customHeight="false" outlineLevel="0" collapsed="false">
      <c r="A28" s="3" t="s">
        <v>77</v>
      </c>
      <c r="B28" s="3" t="s">
        <v>32</v>
      </c>
      <c r="C28" s="3" t="s">
        <v>78</v>
      </c>
      <c r="D28" s="3" t="n">
        <v>400</v>
      </c>
      <c r="E28" s="3" t="n">
        <v>40</v>
      </c>
      <c r="F28" s="3" t="s">
        <v>17</v>
      </c>
      <c r="G28" s="8" t="str">
        <f aca="false">_xlfn.IFS(D28&gt;=500, "HIGH PRICE", D28&lt;=500, "STANDARD PRICE")</f>
        <v>STANDARD PRICE</v>
      </c>
      <c r="H28" s="3"/>
    </row>
    <row r="29" customFormat="false" ht="13.8" hidden="false" customHeight="false" outlineLevel="0" collapsed="false">
      <c r="A29" s="4" t="s">
        <v>48</v>
      </c>
      <c r="B29" s="4" t="s">
        <v>26</v>
      </c>
      <c r="C29" s="4" t="s">
        <v>49</v>
      </c>
      <c r="D29" s="4" t="n">
        <v>230</v>
      </c>
      <c r="E29" s="4" t="n">
        <v>20</v>
      </c>
      <c r="F29" s="4" t="s">
        <v>9</v>
      </c>
      <c r="G29" s="8" t="str">
        <f aca="false">_xlfn.IFS(D29&gt;=500, "HIGH PRICE", D29&lt;=500, "STANDARD PRICE")</f>
        <v>STANDARD PRICE</v>
      </c>
      <c r="H29" s="4"/>
    </row>
    <row r="30" customFormat="false" ht="13.8" hidden="false" customHeight="false" outlineLevel="0" collapsed="false">
      <c r="A30" s="3" t="s">
        <v>79</v>
      </c>
      <c r="B30" s="3" t="s">
        <v>80</v>
      </c>
      <c r="C30" s="3" t="s">
        <v>81</v>
      </c>
      <c r="D30" s="3" t="n">
        <v>60</v>
      </c>
      <c r="E30" s="3" t="n">
        <v>30</v>
      </c>
      <c r="F30" s="3" t="s">
        <v>13</v>
      </c>
      <c r="G30" s="8" t="str">
        <f aca="false">_xlfn.IFS(D30&gt;=500, "HIGH PRICE", D30&lt;=500, "STANDARD PRICE")</f>
        <v>STANDARD PRICE</v>
      </c>
      <c r="H30" s="3"/>
    </row>
    <row r="31" customFormat="false" ht="13.8" hidden="false" customHeight="false" outlineLevel="0" collapsed="false">
      <c r="A31" s="4" t="s">
        <v>82</v>
      </c>
      <c r="B31" s="4" t="s">
        <v>83</v>
      </c>
      <c r="C31" s="4" t="s">
        <v>84</v>
      </c>
      <c r="D31" s="4" t="n">
        <v>40</v>
      </c>
      <c r="E31" s="4" t="n">
        <v>10</v>
      </c>
      <c r="F31" s="4" t="s">
        <v>17</v>
      </c>
      <c r="G31" s="8" t="str">
        <f aca="false">_xlfn.IFS(D31&gt;=500, "HIGH PRICE", D31&lt;=500, "STANDARD PRICE")</f>
        <v>STANDARD PRICE</v>
      </c>
      <c r="H31" s="4"/>
    </row>
    <row r="32" customFormat="false" ht="13.8" hidden="false" customHeight="false" outlineLevel="0" collapsed="false">
      <c r="A32" s="3" t="s">
        <v>85</v>
      </c>
      <c r="B32" s="3" t="s">
        <v>71</v>
      </c>
      <c r="C32" s="3" t="s">
        <v>86</v>
      </c>
      <c r="D32" s="3" t="n">
        <v>130</v>
      </c>
      <c r="E32" s="3" t="n">
        <v>5</v>
      </c>
      <c r="F32" s="3" t="s">
        <v>9</v>
      </c>
      <c r="G32" s="8" t="str">
        <f aca="false">_xlfn.IFS(D32&gt;=500, "HIGH PRICE", D32&lt;=500, "STANDARD PRICE")</f>
        <v>STANDARD PRICE</v>
      </c>
      <c r="H32" s="3"/>
    </row>
    <row r="33" customFormat="false" ht="13.8" hidden="false" customHeight="false" outlineLevel="0" collapsed="false">
      <c r="A33" s="4" t="s">
        <v>87</v>
      </c>
      <c r="B33" s="4" t="s">
        <v>88</v>
      </c>
      <c r="C33" s="4" t="s">
        <v>89</v>
      </c>
      <c r="D33" s="4" t="n">
        <v>50</v>
      </c>
      <c r="E33" s="4" t="n">
        <v>50</v>
      </c>
      <c r="F33" s="4" t="s">
        <v>13</v>
      </c>
      <c r="G33" s="8" t="str">
        <f aca="false">_xlfn.IFS(D33&gt;=500, "HIGH PRICE", D33&lt;=500, "STANDARD PRICE")</f>
        <v>STANDARD PRICE</v>
      </c>
      <c r="H33" s="4"/>
    </row>
    <row r="34" customFormat="false" ht="13.8" hidden="false" customHeight="false" outlineLevel="0" collapsed="false">
      <c r="A34" s="3" t="s">
        <v>40</v>
      </c>
      <c r="B34" s="3" t="s">
        <v>7</v>
      </c>
      <c r="C34" s="3" t="s">
        <v>41</v>
      </c>
      <c r="D34" s="3" t="n">
        <v>950</v>
      </c>
      <c r="E34" s="3" t="n">
        <v>25</v>
      </c>
      <c r="F34" s="3" t="s">
        <v>9</v>
      </c>
      <c r="G34" s="8" t="str">
        <f aca="false">_xlfn.IFS(D34&gt;=500, "HIGH PRICE", D34&lt;=500, "STANDARD PRICE")</f>
        <v>HIGH PRICE</v>
      </c>
      <c r="H34" s="3"/>
    </row>
    <row r="35" customFormat="false" ht="13.8" hidden="false" customHeight="false" outlineLevel="0" collapsed="false">
      <c r="A35" s="4" t="s">
        <v>90</v>
      </c>
      <c r="B35" s="4" t="s">
        <v>91</v>
      </c>
      <c r="C35" s="4" t="s">
        <v>92</v>
      </c>
      <c r="D35" s="4" t="n">
        <v>100</v>
      </c>
      <c r="E35" s="4" t="n">
        <v>20</v>
      </c>
      <c r="F35" s="4" t="s">
        <v>53</v>
      </c>
      <c r="G35" s="8" t="str">
        <f aca="false">_xlfn.IFS(D35&gt;=500, "HIGH PRICE", D35&lt;=500, "STANDARD PRICE")</f>
        <v>STANDARD PRICE</v>
      </c>
      <c r="H35" s="4"/>
    </row>
  </sheetData>
  <autoFilter ref="A1:G35"/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2.1"/>
    <col collapsed="false" customWidth="true" hidden="false" outlineLevel="0" max="2" min="2" style="0" width="14.92"/>
    <col collapsed="false" customWidth="true" hidden="false" outlineLevel="0" max="3" min="3" style="0" width="13.1"/>
    <col collapsed="false" customWidth="true" hidden="false" outlineLevel="0" max="4" min="4" style="0" width="9.2"/>
    <col collapsed="false" customWidth="true" hidden="false" outlineLevel="0" max="5" min="5" style="0" width="9.29"/>
    <col collapsed="false" customWidth="true" hidden="false" outlineLevel="0" max="6" min="6" style="0" width="12.1"/>
    <col collapsed="false" customWidth="true" hidden="false" outlineLevel="0" max="7" min="7" style="0" width="14.92"/>
    <col collapsed="false" customWidth="true" hidden="false" outlineLevel="0" max="8" min="8" style="0" width="15.37"/>
    <col collapsed="false" customWidth="false" hidden="false" outlineLevel="0" max="1025" min="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97</v>
      </c>
      <c r="H1" s="1" t="s">
        <v>96</v>
      </c>
      <c r="I1" s="1" t="s">
        <v>98</v>
      </c>
      <c r="J1" s="1"/>
    </row>
    <row r="2" customFormat="false" ht="13.8" hidden="false" customHeight="false" outlineLevel="0" collapsed="false">
      <c r="A2" s="3" t="s">
        <v>6</v>
      </c>
      <c r="B2" s="3" t="s">
        <v>7</v>
      </c>
      <c r="C2" s="3" t="s">
        <v>8</v>
      </c>
      <c r="D2" s="3" t="n">
        <v>1000</v>
      </c>
      <c r="E2" s="3" t="n">
        <v>30</v>
      </c>
      <c r="F2" s="3" t="s">
        <v>9</v>
      </c>
      <c r="G2" s="3" t="e">
        <f aca="false" t="array" ref="G2:G22">com.microsoft.unique(B2: B35)</f>
        <v>#NAME?</v>
      </c>
      <c r="H2" s="3" t="e">
        <f aca="false">SUMIF(B2:B35,G2,D2:D35)</f>
        <v>#NAME?</v>
      </c>
      <c r="I2" s="0" t="n">
        <f aca="false">COUNTIF(D2: D35, "&lt;100")</f>
        <v>11</v>
      </c>
    </row>
    <row r="3" customFormat="false" ht="13.8" hidden="false" customHeight="false" outlineLevel="0" collapsed="false">
      <c r="A3" s="4" t="s">
        <v>10</v>
      </c>
      <c r="B3" s="4" t="s">
        <v>11</v>
      </c>
      <c r="C3" s="4" t="s">
        <v>12</v>
      </c>
      <c r="D3" s="4" t="n">
        <v>80</v>
      </c>
      <c r="E3" s="4" t="n">
        <v>15</v>
      </c>
      <c r="F3" s="4" t="s">
        <v>13</v>
      </c>
      <c r="G3" s="4" t="e">
        <v>#NAME?</v>
      </c>
      <c r="H3" s="3" t="e">
        <f aca="false">SUMIF(B3:B36,G3,D3:D36)</f>
        <v>#NAME?</v>
      </c>
    </row>
    <row r="4" customFormat="false" ht="13.8" hidden="false" customHeight="false" outlineLevel="0" collapsed="false">
      <c r="A4" s="3" t="s">
        <v>14</v>
      </c>
      <c r="B4" s="3" t="s">
        <v>15</v>
      </c>
      <c r="C4" s="3" t="s">
        <v>16</v>
      </c>
      <c r="D4" s="3" t="n">
        <v>130</v>
      </c>
      <c r="E4" s="3" t="n">
        <v>40</v>
      </c>
      <c r="F4" s="3" t="s">
        <v>17</v>
      </c>
      <c r="G4" s="3" t="e">
        <v>#NAME?</v>
      </c>
      <c r="H4" s="3" t="e">
        <f aca="false">SUMIF(B4:B37,G4,D4:D37)</f>
        <v>#NAME?</v>
      </c>
    </row>
    <row r="5" customFormat="false" ht="13.8" hidden="false" customHeight="false" outlineLevel="0" collapsed="false">
      <c r="A5" s="4" t="s">
        <v>18</v>
      </c>
      <c r="B5" s="4" t="s">
        <v>19</v>
      </c>
      <c r="C5" s="4" t="s">
        <v>20</v>
      </c>
      <c r="D5" s="4" t="n">
        <v>900</v>
      </c>
      <c r="E5" s="4" t="n">
        <v>25</v>
      </c>
      <c r="F5" s="4" t="s">
        <v>9</v>
      </c>
      <c r="G5" s="4" t="e">
        <v>#NAME?</v>
      </c>
      <c r="H5" s="3" t="e">
        <f aca="false">SUMIF(B5:B38,G5,D5:D38)</f>
        <v>#NAME?</v>
      </c>
    </row>
    <row r="6" customFormat="false" ht="13.8" hidden="false" customHeight="false" outlineLevel="0" collapsed="false">
      <c r="A6" s="3" t="s">
        <v>21</v>
      </c>
      <c r="B6" s="3" t="s">
        <v>22</v>
      </c>
      <c r="C6" s="3" t="s">
        <v>23</v>
      </c>
      <c r="D6" s="3" t="n">
        <v>70</v>
      </c>
      <c r="E6" s="3" t="n">
        <v>20</v>
      </c>
      <c r="F6" s="3" t="s">
        <v>24</v>
      </c>
      <c r="G6" s="3" t="e">
        <v>#NAME?</v>
      </c>
      <c r="H6" s="3" t="e">
        <f aca="false">SUMIF(B6:B39,G6,D6:D39)</f>
        <v>#NAME?</v>
      </c>
    </row>
    <row r="7" customFormat="false" ht="13.8" hidden="false" customHeight="false" outlineLevel="0" collapsed="false">
      <c r="A7" s="4" t="s">
        <v>25</v>
      </c>
      <c r="B7" s="4" t="s">
        <v>26</v>
      </c>
      <c r="C7" s="4" t="s">
        <v>27</v>
      </c>
      <c r="D7" s="4" t="n">
        <v>200</v>
      </c>
      <c r="E7" s="4" t="n">
        <v>45</v>
      </c>
      <c r="F7" s="4" t="s">
        <v>9</v>
      </c>
      <c r="G7" s="4" t="e">
        <v>#NAME?</v>
      </c>
      <c r="H7" s="3" t="e">
        <f aca="false">SUMIF(B7:B40,G7,D7:D40)</f>
        <v>#NAME?</v>
      </c>
    </row>
    <row r="8" customFormat="false" ht="13.8" hidden="false" customHeight="false" outlineLevel="0" collapsed="false">
      <c r="A8" s="3" t="s">
        <v>28</v>
      </c>
      <c r="B8" s="3" t="s">
        <v>29</v>
      </c>
      <c r="C8" s="3" t="s">
        <v>30</v>
      </c>
      <c r="D8" s="3" t="n">
        <v>30</v>
      </c>
      <c r="E8" s="3" t="n">
        <v>5</v>
      </c>
      <c r="F8" s="3" t="s">
        <v>13</v>
      </c>
      <c r="G8" s="3" t="e">
        <v>#NAME?</v>
      </c>
      <c r="H8" s="3" t="e">
        <f aca="false">SUMIF(B8:B41,G8,D8:D41)</f>
        <v>#NAME?</v>
      </c>
    </row>
    <row r="9" customFormat="false" ht="13.8" hidden="false" customHeight="false" outlineLevel="0" collapsed="false">
      <c r="A9" s="4" t="s">
        <v>31</v>
      </c>
      <c r="B9" s="4" t="s">
        <v>32</v>
      </c>
      <c r="C9" s="4" t="s">
        <v>33</v>
      </c>
      <c r="D9" s="4" t="n">
        <v>90</v>
      </c>
      <c r="E9" s="4" t="n">
        <v>35</v>
      </c>
      <c r="F9" s="4" t="s">
        <v>17</v>
      </c>
      <c r="G9" s="4" t="e">
        <v>#NAME?</v>
      </c>
      <c r="H9" s="3" t="e">
        <f aca="false">SUMIF(B9:B42,G9,D9:D42)</f>
        <v>#NAME?</v>
      </c>
    </row>
    <row r="10" customFormat="false" ht="13.8" hidden="false" customHeight="false" outlineLevel="0" collapsed="false">
      <c r="A10" s="3" t="s">
        <v>34</v>
      </c>
      <c r="B10" s="3" t="s">
        <v>35</v>
      </c>
      <c r="C10" s="3" t="s">
        <v>36</v>
      </c>
      <c r="D10" s="3" t="n">
        <v>500</v>
      </c>
      <c r="E10" s="3" t="n">
        <v>50</v>
      </c>
      <c r="F10" s="3" t="s">
        <v>9</v>
      </c>
      <c r="G10" s="3" t="e">
        <v>#NAME?</v>
      </c>
      <c r="H10" s="3" t="e">
        <f aca="false">SUMIF(B10:B43,G10,D10:D43)</f>
        <v>#NAME?</v>
      </c>
    </row>
    <row r="11" customFormat="false" ht="13.8" hidden="false" customHeight="false" outlineLevel="0" collapsed="false">
      <c r="A11" s="4" t="s">
        <v>37</v>
      </c>
      <c r="B11" s="4" t="s">
        <v>38</v>
      </c>
      <c r="C11" s="4" t="s">
        <v>39</v>
      </c>
      <c r="D11" s="4" t="n">
        <v>130</v>
      </c>
      <c r="E11" s="4" t="n">
        <v>10</v>
      </c>
      <c r="F11" s="4" t="s">
        <v>24</v>
      </c>
      <c r="G11" s="4" t="e">
        <v>#NAME?</v>
      </c>
      <c r="H11" s="3" t="e">
        <f aca="false">SUMIF(B11:B44,G11,D11:D44)</f>
        <v>#NAME?</v>
      </c>
    </row>
    <row r="12" customFormat="false" ht="13.8" hidden="false" customHeight="false" outlineLevel="0" collapsed="false">
      <c r="A12" s="3" t="s">
        <v>40</v>
      </c>
      <c r="B12" s="3" t="s">
        <v>7</v>
      </c>
      <c r="C12" s="3" t="s">
        <v>41</v>
      </c>
      <c r="D12" s="3" t="n">
        <v>950</v>
      </c>
      <c r="E12" s="3" t="n">
        <v>25</v>
      </c>
      <c r="F12" s="3" t="s">
        <v>9</v>
      </c>
      <c r="G12" s="3" t="e">
        <v>#NAME?</v>
      </c>
      <c r="H12" s="3" t="e">
        <f aca="false">SUMIF(B12:B45,G12,D12:D45)</f>
        <v>#NAME?</v>
      </c>
    </row>
    <row r="13" customFormat="false" ht="13.8" hidden="false" customHeight="false" outlineLevel="0" collapsed="false">
      <c r="A13" s="4" t="s">
        <v>42</v>
      </c>
      <c r="B13" s="4" t="s">
        <v>11</v>
      </c>
      <c r="C13" s="4" t="s">
        <v>30</v>
      </c>
      <c r="D13" s="4" t="n">
        <v>90</v>
      </c>
      <c r="E13" s="4" t="n">
        <v>40</v>
      </c>
      <c r="F13" s="4" t="s">
        <v>13</v>
      </c>
      <c r="G13" s="4" t="e">
        <v>#NAME?</v>
      </c>
      <c r="H13" s="3" t="e">
        <f aca="false">SUMIF(B13:B46,G13,D13:D46)</f>
        <v>#NAME?</v>
      </c>
    </row>
    <row r="14" customFormat="false" ht="13.8" hidden="false" customHeight="false" outlineLevel="0" collapsed="false">
      <c r="A14" s="3" t="s">
        <v>43</v>
      </c>
      <c r="B14" s="3" t="s">
        <v>15</v>
      </c>
      <c r="C14" s="3" t="s">
        <v>44</v>
      </c>
      <c r="D14" s="3" t="n">
        <v>120</v>
      </c>
      <c r="E14" s="3" t="n">
        <v>35</v>
      </c>
      <c r="F14" s="3" t="s">
        <v>17</v>
      </c>
      <c r="G14" s="3" t="e">
        <v>#NAME?</v>
      </c>
      <c r="H14" s="3" t="e">
        <f aca="false">SUMIF(B14:B47,G14,D14:D47)</f>
        <v>#NAME?</v>
      </c>
    </row>
    <row r="15" customFormat="false" ht="13.8" hidden="false" customHeight="false" outlineLevel="0" collapsed="false">
      <c r="A15" s="4" t="s">
        <v>45</v>
      </c>
      <c r="B15" s="4" t="s">
        <v>46</v>
      </c>
      <c r="C15" s="4" t="s">
        <v>47</v>
      </c>
      <c r="D15" s="4" t="n">
        <v>150</v>
      </c>
      <c r="E15" s="4" t="n">
        <v>15</v>
      </c>
      <c r="F15" s="4" t="s">
        <v>9</v>
      </c>
      <c r="G15" s="4" t="e">
        <v>#NAME?</v>
      </c>
      <c r="H15" s="3" t="e">
        <f aca="false">SUMIF(B15:B48,G15,D15:D48)</f>
        <v>#NAME?</v>
      </c>
    </row>
    <row r="16" customFormat="false" ht="13.8" hidden="false" customHeight="false" outlineLevel="0" collapsed="false">
      <c r="A16" s="3" t="s">
        <v>48</v>
      </c>
      <c r="B16" s="3" t="s">
        <v>26</v>
      </c>
      <c r="C16" s="3" t="s">
        <v>49</v>
      </c>
      <c r="D16" s="3" t="n">
        <v>250</v>
      </c>
      <c r="E16" s="3" t="n">
        <v>20</v>
      </c>
      <c r="F16" s="3" t="s">
        <v>9</v>
      </c>
      <c r="G16" s="3" t="e">
        <v>#NAME?</v>
      </c>
      <c r="H16" s="3" t="e">
        <f aca="false">SUMIF(B16:B49,G16,D16:D49)</f>
        <v>#NAME?</v>
      </c>
    </row>
    <row r="17" customFormat="false" ht="13.8" hidden="false" customHeight="false" outlineLevel="0" collapsed="false">
      <c r="A17" s="4" t="s">
        <v>50</v>
      </c>
      <c r="B17" s="4" t="s">
        <v>51</v>
      </c>
      <c r="C17" s="4" t="s">
        <v>52</v>
      </c>
      <c r="D17" s="4" t="n">
        <v>50</v>
      </c>
      <c r="E17" s="4" t="n">
        <v>35</v>
      </c>
      <c r="F17" s="4" t="s">
        <v>53</v>
      </c>
      <c r="G17" s="4" t="e">
        <v>#NAME?</v>
      </c>
      <c r="H17" s="3" t="e">
        <f aca="false">SUMIF(B17:B50,G17,D17:D50)</f>
        <v>#NAME?</v>
      </c>
    </row>
    <row r="18" customFormat="false" ht="13.8" hidden="false" customHeight="false" outlineLevel="0" collapsed="false">
      <c r="A18" s="3" t="s">
        <v>54</v>
      </c>
      <c r="B18" s="3" t="s">
        <v>46</v>
      </c>
      <c r="C18" s="3" t="s">
        <v>55</v>
      </c>
      <c r="D18" s="3" t="n">
        <v>160</v>
      </c>
      <c r="E18" s="3" t="n">
        <v>15</v>
      </c>
      <c r="F18" s="3" t="s">
        <v>9</v>
      </c>
      <c r="G18" s="3" t="e">
        <v>#NAME?</v>
      </c>
      <c r="H18" s="3" t="e">
        <f aca="false">SUMIF(B18:B51,G18,D18:D51)</f>
        <v>#NAME?</v>
      </c>
    </row>
    <row r="19" customFormat="false" ht="13.8" hidden="false" customHeight="false" outlineLevel="0" collapsed="false">
      <c r="A19" s="4" t="s">
        <v>56</v>
      </c>
      <c r="B19" s="4" t="s">
        <v>7</v>
      </c>
      <c r="C19" s="4" t="s">
        <v>57</v>
      </c>
      <c r="D19" s="4" t="n">
        <v>980</v>
      </c>
      <c r="E19" s="4" t="n">
        <v>10</v>
      </c>
      <c r="F19" s="4" t="s">
        <v>9</v>
      </c>
      <c r="G19" s="4" t="e">
        <v>#NAME?</v>
      </c>
      <c r="H19" s="3" t="e">
        <f aca="false">SUMIF(B19:B52,G19,D19:D52)</f>
        <v>#NAME?</v>
      </c>
    </row>
    <row r="20" customFormat="false" ht="13.8" hidden="false" customHeight="false" outlineLevel="0" collapsed="false">
      <c r="A20" s="3" t="s">
        <v>58</v>
      </c>
      <c r="B20" s="3" t="s">
        <v>59</v>
      </c>
      <c r="C20" s="3" t="s">
        <v>60</v>
      </c>
      <c r="D20" s="3" t="n">
        <v>150</v>
      </c>
      <c r="E20" s="3" t="n">
        <v>15</v>
      </c>
      <c r="F20" s="3" t="s">
        <v>13</v>
      </c>
      <c r="G20" s="3" t="e">
        <v>#NAME?</v>
      </c>
      <c r="H20" s="3" t="e">
        <f aca="false">SUMIF(B20:B53,G20,D20:D53)</f>
        <v>#NAME?</v>
      </c>
    </row>
    <row r="21" customFormat="false" ht="13.8" hidden="false" customHeight="false" outlineLevel="0" collapsed="false">
      <c r="A21" s="4" t="s">
        <v>61</v>
      </c>
      <c r="B21" s="4" t="s">
        <v>62</v>
      </c>
      <c r="C21" s="4" t="s">
        <v>63</v>
      </c>
      <c r="D21" s="4" t="n">
        <v>200</v>
      </c>
      <c r="E21" s="4" t="n">
        <v>10</v>
      </c>
      <c r="F21" s="4" t="s">
        <v>24</v>
      </c>
      <c r="G21" s="4" t="e">
        <v>#NAME?</v>
      </c>
      <c r="H21" s="3" t="e">
        <f aca="false">SUMIF(B21:B54,G21,D21:D54)</f>
        <v>#NAME?</v>
      </c>
    </row>
    <row r="22" customFormat="false" ht="13.8" hidden="false" customHeight="false" outlineLevel="0" collapsed="false">
      <c r="A22" s="3" t="s">
        <v>64</v>
      </c>
      <c r="B22" s="3" t="s">
        <v>65</v>
      </c>
      <c r="C22" s="3" t="s">
        <v>66</v>
      </c>
      <c r="D22" s="3" t="n">
        <v>700</v>
      </c>
      <c r="E22" s="3" t="n">
        <v>50</v>
      </c>
      <c r="F22" s="3" t="s">
        <v>9</v>
      </c>
      <c r="G22" s="3" t="e">
        <v>#NAME?</v>
      </c>
      <c r="H22" s="3" t="e">
        <f aca="false">SUMIF(B22:B55,G22,D22:D55)</f>
        <v>#NAME?</v>
      </c>
    </row>
    <row r="23" customFormat="false" ht="13.8" hidden="false" customHeight="false" outlineLevel="0" collapsed="false">
      <c r="A23" s="4" t="s">
        <v>67</v>
      </c>
      <c r="B23" s="4" t="s">
        <v>68</v>
      </c>
      <c r="C23" s="4" t="s">
        <v>69</v>
      </c>
      <c r="D23" s="4" t="n">
        <v>80</v>
      </c>
      <c r="E23" s="4" t="n">
        <v>20</v>
      </c>
      <c r="F23" s="4" t="s">
        <v>17</v>
      </c>
      <c r="G23" s="4"/>
      <c r="H23" s="4"/>
      <c r="I23" s="4"/>
      <c r="J23" s="4"/>
    </row>
    <row r="24" customFormat="false" ht="13.8" hidden="false" customHeight="false" outlineLevel="0" collapsed="false">
      <c r="A24" s="3" t="s">
        <v>70</v>
      </c>
      <c r="B24" s="3" t="s">
        <v>71</v>
      </c>
      <c r="C24" s="3" t="s">
        <v>72</v>
      </c>
      <c r="D24" s="3" t="n">
        <v>150</v>
      </c>
      <c r="E24" s="3" t="n">
        <v>30</v>
      </c>
      <c r="F24" s="3" t="s">
        <v>9</v>
      </c>
      <c r="G24" s="3"/>
      <c r="H24" s="3"/>
      <c r="I24" s="3"/>
      <c r="J24" s="3"/>
    </row>
    <row r="25" customFormat="false" ht="13.8" hidden="false" customHeight="false" outlineLevel="0" collapsed="false">
      <c r="A25" s="4" t="s">
        <v>50</v>
      </c>
      <c r="B25" s="4" t="s">
        <v>51</v>
      </c>
      <c r="C25" s="4" t="s">
        <v>52</v>
      </c>
      <c r="D25" s="4" t="n">
        <v>50</v>
      </c>
      <c r="E25" s="4" t="n">
        <v>35</v>
      </c>
      <c r="F25" s="4" t="s">
        <v>53</v>
      </c>
      <c r="G25" s="4"/>
      <c r="H25" s="4"/>
      <c r="I25" s="4"/>
      <c r="J25" s="4"/>
    </row>
    <row r="26" customFormat="false" ht="13.8" hidden="false" customHeight="false" outlineLevel="0" collapsed="false">
      <c r="A26" s="3" t="s">
        <v>73</v>
      </c>
      <c r="B26" s="3" t="s">
        <v>19</v>
      </c>
      <c r="C26" s="3" t="s">
        <v>74</v>
      </c>
      <c r="D26" s="3" t="n">
        <v>800</v>
      </c>
      <c r="E26" s="3" t="n">
        <v>45</v>
      </c>
      <c r="F26" s="3" t="s">
        <v>9</v>
      </c>
      <c r="G26" s="3"/>
      <c r="H26" s="3"/>
      <c r="I26" s="3"/>
      <c r="J26" s="3"/>
    </row>
    <row r="27" customFormat="false" ht="13.8" hidden="false" customHeight="false" outlineLevel="0" collapsed="false">
      <c r="A27" s="4" t="s">
        <v>75</v>
      </c>
      <c r="B27" s="4" t="s">
        <v>59</v>
      </c>
      <c r="C27" s="4" t="s">
        <v>76</v>
      </c>
      <c r="D27" s="4" t="n">
        <v>130</v>
      </c>
      <c r="E27" s="4" t="n">
        <v>25</v>
      </c>
      <c r="F27" s="4" t="s">
        <v>13</v>
      </c>
      <c r="G27" s="4"/>
      <c r="H27" s="4"/>
      <c r="I27" s="4"/>
      <c r="J27" s="4"/>
    </row>
    <row r="28" customFormat="false" ht="13.8" hidden="false" customHeight="false" outlineLevel="0" collapsed="false">
      <c r="A28" s="3" t="s">
        <v>77</v>
      </c>
      <c r="B28" s="3" t="s">
        <v>32</v>
      </c>
      <c r="C28" s="3" t="s">
        <v>78</v>
      </c>
      <c r="D28" s="3" t="n">
        <v>400</v>
      </c>
      <c r="E28" s="3" t="n">
        <v>40</v>
      </c>
      <c r="F28" s="3" t="s">
        <v>17</v>
      </c>
      <c r="G28" s="3"/>
      <c r="H28" s="3"/>
      <c r="I28" s="3"/>
      <c r="J28" s="3"/>
    </row>
    <row r="29" customFormat="false" ht="13.8" hidden="false" customHeight="false" outlineLevel="0" collapsed="false">
      <c r="A29" s="4" t="s">
        <v>48</v>
      </c>
      <c r="B29" s="4" t="s">
        <v>26</v>
      </c>
      <c r="C29" s="4" t="s">
        <v>49</v>
      </c>
      <c r="D29" s="4" t="n">
        <v>230</v>
      </c>
      <c r="E29" s="4" t="n">
        <v>20</v>
      </c>
      <c r="F29" s="4" t="s">
        <v>9</v>
      </c>
      <c r="G29" s="4"/>
      <c r="H29" s="4"/>
      <c r="I29" s="4"/>
      <c r="J29" s="4"/>
    </row>
    <row r="30" customFormat="false" ht="13.8" hidden="false" customHeight="false" outlineLevel="0" collapsed="false">
      <c r="A30" s="3" t="s">
        <v>79</v>
      </c>
      <c r="B30" s="3" t="s">
        <v>80</v>
      </c>
      <c r="C30" s="3" t="s">
        <v>81</v>
      </c>
      <c r="D30" s="3" t="n">
        <v>60</v>
      </c>
      <c r="E30" s="3" t="n">
        <v>30</v>
      </c>
      <c r="F30" s="3" t="s">
        <v>13</v>
      </c>
      <c r="G30" s="3"/>
      <c r="H30" s="3"/>
      <c r="I30" s="3"/>
      <c r="J30" s="3"/>
    </row>
    <row r="31" customFormat="false" ht="13.8" hidden="false" customHeight="false" outlineLevel="0" collapsed="false">
      <c r="A31" s="4" t="s">
        <v>82</v>
      </c>
      <c r="B31" s="4" t="s">
        <v>83</v>
      </c>
      <c r="C31" s="4" t="s">
        <v>84</v>
      </c>
      <c r="D31" s="4" t="n">
        <v>40</v>
      </c>
      <c r="E31" s="4" t="n">
        <v>10</v>
      </c>
      <c r="F31" s="4" t="s">
        <v>17</v>
      </c>
      <c r="G31" s="4"/>
      <c r="H31" s="4"/>
      <c r="I31" s="4"/>
      <c r="J31" s="4"/>
    </row>
    <row r="32" customFormat="false" ht="13.8" hidden="false" customHeight="false" outlineLevel="0" collapsed="false">
      <c r="A32" s="3" t="s">
        <v>85</v>
      </c>
      <c r="B32" s="3" t="s">
        <v>71</v>
      </c>
      <c r="C32" s="3" t="s">
        <v>86</v>
      </c>
      <c r="D32" s="3" t="n">
        <v>130</v>
      </c>
      <c r="E32" s="3" t="n">
        <v>5</v>
      </c>
      <c r="F32" s="3" t="s">
        <v>9</v>
      </c>
      <c r="G32" s="3"/>
      <c r="H32" s="3"/>
      <c r="I32" s="3"/>
      <c r="J32" s="3"/>
    </row>
    <row r="33" customFormat="false" ht="13.8" hidden="false" customHeight="false" outlineLevel="0" collapsed="false">
      <c r="A33" s="4" t="s">
        <v>87</v>
      </c>
      <c r="B33" s="4" t="s">
        <v>88</v>
      </c>
      <c r="C33" s="4" t="s">
        <v>89</v>
      </c>
      <c r="D33" s="4" t="n">
        <v>50</v>
      </c>
      <c r="E33" s="4" t="n">
        <v>50</v>
      </c>
      <c r="F33" s="4" t="s">
        <v>13</v>
      </c>
      <c r="G33" s="4"/>
      <c r="H33" s="4"/>
      <c r="I33" s="4"/>
      <c r="J33" s="4"/>
    </row>
    <row r="34" customFormat="false" ht="13.8" hidden="false" customHeight="false" outlineLevel="0" collapsed="false">
      <c r="A34" s="3" t="s">
        <v>40</v>
      </c>
      <c r="B34" s="3" t="s">
        <v>7</v>
      </c>
      <c r="C34" s="3" t="s">
        <v>41</v>
      </c>
      <c r="D34" s="3" t="n">
        <v>950</v>
      </c>
      <c r="E34" s="3" t="n">
        <v>25</v>
      </c>
      <c r="F34" s="3" t="s">
        <v>9</v>
      </c>
      <c r="G34" s="3"/>
      <c r="H34" s="3"/>
      <c r="I34" s="3"/>
      <c r="J34" s="3"/>
    </row>
    <row r="35" customFormat="false" ht="13.8" hidden="false" customHeight="false" outlineLevel="0" collapsed="false">
      <c r="A35" s="4" t="s">
        <v>90</v>
      </c>
      <c r="B35" s="4" t="s">
        <v>91</v>
      </c>
      <c r="C35" s="4" t="s">
        <v>92</v>
      </c>
      <c r="D35" s="4" t="n">
        <v>100</v>
      </c>
      <c r="E35" s="4" t="n">
        <v>20</v>
      </c>
      <c r="F35" s="4" t="s">
        <v>53</v>
      </c>
      <c r="G35" s="4"/>
      <c r="H35" s="4"/>
      <c r="I35" s="4"/>
      <c r="J35" s="4"/>
    </row>
  </sheetData>
  <autoFilter ref="A1:F35"/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2.1"/>
    <col collapsed="false" customWidth="true" hidden="false" outlineLevel="0" max="2" min="2" style="0" width="14.92"/>
    <col collapsed="false" customWidth="true" hidden="false" outlineLevel="0" max="3" min="3" style="0" width="13.1"/>
    <col collapsed="false" customWidth="true" hidden="false" outlineLevel="0" max="4" min="4" style="0" width="9.2"/>
    <col collapsed="false" customWidth="true" hidden="false" outlineLevel="0" max="5" min="5" style="0" width="9.29"/>
    <col collapsed="false" customWidth="true" hidden="false" outlineLevel="0" max="6" min="6" style="0" width="12.1"/>
    <col collapsed="false" customWidth="false" hidden="false" outlineLevel="0" max="7" min="7" style="0" width="11.52"/>
    <col collapsed="false" customWidth="true" hidden="false" outlineLevel="0" max="8" min="8" style="0" width="17.65"/>
    <col collapsed="false" customWidth="false" hidden="false" outlineLevel="0" max="1025" min="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99</v>
      </c>
      <c r="H1" s="1" t="s">
        <v>100</v>
      </c>
      <c r="I1" s="1" t="s">
        <v>101</v>
      </c>
    </row>
    <row r="2" customFormat="false" ht="13.8" hidden="false" customHeight="false" outlineLevel="0" collapsed="false">
      <c r="A2" s="3" t="s">
        <v>6</v>
      </c>
      <c r="B2" s="3" t="s">
        <v>7</v>
      </c>
      <c r="C2" s="3" t="s">
        <v>8</v>
      </c>
      <c r="D2" s="3" t="n">
        <v>1000</v>
      </c>
      <c r="E2" s="3" t="n">
        <v>30</v>
      </c>
      <c r="F2" s="3" t="s">
        <v>9</v>
      </c>
      <c r="G2" s="3" t="str">
        <f aca="false">LEFT(A2, 2)</f>
        <v>28</v>
      </c>
      <c r="H2" s="3" t="str">
        <f aca="false">RIGHT(A2, 2)</f>
        <v>US</v>
      </c>
      <c r="I2" s="3" t="str">
        <f aca="false">MID(A2, 4, 3)</f>
        <v>JAN</v>
      </c>
    </row>
    <row r="3" customFormat="false" ht="13.8" hidden="false" customHeight="false" outlineLevel="0" collapsed="false">
      <c r="A3" s="4" t="s">
        <v>10</v>
      </c>
      <c r="B3" s="4" t="s">
        <v>11</v>
      </c>
      <c r="C3" s="4" t="s">
        <v>12</v>
      </c>
      <c r="D3" s="4" t="n">
        <v>80</v>
      </c>
      <c r="E3" s="4" t="n">
        <v>15</v>
      </c>
      <c r="F3" s="4" t="s">
        <v>13</v>
      </c>
      <c r="G3" s="3" t="str">
        <f aca="false">LEFT(A3, 2)</f>
        <v>15</v>
      </c>
      <c r="H3" s="3" t="str">
        <f aca="false">RIGHT(A3, 2)</f>
        <v>US</v>
      </c>
      <c r="I3" s="3" t="str">
        <f aca="false">MID(A3, 4, 3)</f>
        <v>FEB</v>
      </c>
    </row>
    <row r="4" customFormat="false" ht="13.8" hidden="false" customHeight="false" outlineLevel="0" collapsed="false">
      <c r="A4" s="3" t="s">
        <v>14</v>
      </c>
      <c r="B4" s="3" t="s">
        <v>15</v>
      </c>
      <c r="C4" s="3" t="s">
        <v>16</v>
      </c>
      <c r="D4" s="3" t="n">
        <v>130</v>
      </c>
      <c r="E4" s="3" t="n">
        <v>40</v>
      </c>
      <c r="F4" s="3" t="s">
        <v>17</v>
      </c>
      <c r="G4" s="3" t="str">
        <f aca="false">LEFT(A4, 2)</f>
        <v>03</v>
      </c>
      <c r="H4" s="3" t="str">
        <f aca="false">RIGHT(A4, 2)</f>
        <v>US</v>
      </c>
      <c r="I4" s="3" t="str">
        <f aca="false">MID(A4, 4, 3)</f>
        <v>MAR</v>
      </c>
    </row>
    <row r="5" customFormat="false" ht="13.8" hidden="false" customHeight="false" outlineLevel="0" collapsed="false">
      <c r="A5" s="4" t="s">
        <v>18</v>
      </c>
      <c r="B5" s="4" t="s">
        <v>19</v>
      </c>
      <c r="C5" s="4" t="s">
        <v>20</v>
      </c>
      <c r="D5" s="4" t="n">
        <v>900</v>
      </c>
      <c r="E5" s="4" t="n">
        <v>25</v>
      </c>
      <c r="F5" s="4" t="s">
        <v>9</v>
      </c>
      <c r="G5" s="3" t="str">
        <f aca="false">LEFT(A5, 2)</f>
        <v>11</v>
      </c>
      <c r="H5" s="3" t="str">
        <f aca="false">RIGHT(A5, 2)</f>
        <v>US</v>
      </c>
      <c r="I5" s="3" t="str">
        <f aca="false">MID(A5, 4, 3)</f>
        <v>APR</v>
      </c>
    </row>
    <row r="6" customFormat="false" ht="13.8" hidden="false" customHeight="false" outlineLevel="0" collapsed="false">
      <c r="A6" s="3" t="s">
        <v>21</v>
      </c>
      <c r="B6" s="3" t="s">
        <v>22</v>
      </c>
      <c r="C6" s="3" t="s">
        <v>23</v>
      </c>
      <c r="D6" s="3" t="n">
        <v>70</v>
      </c>
      <c r="E6" s="3" t="n">
        <v>20</v>
      </c>
      <c r="F6" s="3" t="s">
        <v>24</v>
      </c>
      <c r="G6" s="3" t="str">
        <f aca="false">LEFT(A6, 2)</f>
        <v>22</v>
      </c>
      <c r="H6" s="3" t="str">
        <f aca="false">RIGHT(A6, 2)</f>
        <v>US</v>
      </c>
      <c r="I6" s="3" t="str">
        <f aca="false">MID(A6, 4, 3)</f>
        <v>MAY</v>
      </c>
    </row>
    <row r="7" customFormat="false" ht="13.8" hidden="false" customHeight="false" outlineLevel="0" collapsed="false">
      <c r="A7" s="4" t="s">
        <v>25</v>
      </c>
      <c r="B7" s="4" t="s">
        <v>26</v>
      </c>
      <c r="C7" s="4" t="s">
        <v>27</v>
      </c>
      <c r="D7" s="4" t="n">
        <v>200</v>
      </c>
      <c r="E7" s="4" t="n">
        <v>45</v>
      </c>
      <c r="F7" s="4" t="s">
        <v>9</v>
      </c>
      <c r="G7" s="3" t="str">
        <f aca="false">LEFT(A7, 2)</f>
        <v>07</v>
      </c>
      <c r="H7" s="3" t="str">
        <f aca="false">RIGHT(A7, 2)</f>
        <v>UK</v>
      </c>
      <c r="I7" s="3" t="str">
        <f aca="false">MID(A7, 4, 3)</f>
        <v>JUN</v>
      </c>
    </row>
    <row r="8" customFormat="false" ht="13.8" hidden="false" customHeight="false" outlineLevel="0" collapsed="false">
      <c r="A8" s="3" t="s">
        <v>28</v>
      </c>
      <c r="B8" s="3" t="s">
        <v>29</v>
      </c>
      <c r="C8" s="3" t="s">
        <v>30</v>
      </c>
      <c r="D8" s="3" t="n">
        <v>30</v>
      </c>
      <c r="E8" s="3" t="n">
        <v>5</v>
      </c>
      <c r="F8" s="3" t="s">
        <v>13</v>
      </c>
      <c r="G8" s="3" t="str">
        <f aca="false">LEFT(A8, 2)</f>
        <v>19</v>
      </c>
      <c r="H8" s="3" t="str">
        <f aca="false">RIGHT(A8, 2)</f>
        <v>UK</v>
      </c>
      <c r="I8" s="3" t="str">
        <f aca="false">MID(A8, 4, 3)</f>
        <v>JUL</v>
      </c>
    </row>
    <row r="9" customFormat="false" ht="13.8" hidden="false" customHeight="false" outlineLevel="0" collapsed="false">
      <c r="A9" s="4" t="s">
        <v>31</v>
      </c>
      <c r="B9" s="4" t="s">
        <v>32</v>
      </c>
      <c r="C9" s="4" t="s">
        <v>33</v>
      </c>
      <c r="D9" s="4" t="n">
        <v>90</v>
      </c>
      <c r="E9" s="4" t="n">
        <v>35</v>
      </c>
      <c r="F9" s="4" t="s">
        <v>17</v>
      </c>
      <c r="G9" s="3" t="str">
        <f aca="false">LEFT(A9, 2)</f>
        <v>23</v>
      </c>
      <c r="H9" s="3" t="str">
        <f aca="false">RIGHT(A9, 2)</f>
        <v>UK</v>
      </c>
      <c r="I9" s="3" t="str">
        <f aca="false">MID(A9, 4, 3)</f>
        <v>AUG</v>
      </c>
    </row>
    <row r="10" customFormat="false" ht="13.8" hidden="false" customHeight="false" outlineLevel="0" collapsed="false">
      <c r="A10" s="3" t="s">
        <v>34</v>
      </c>
      <c r="B10" s="3" t="s">
        <v>35</v>
      </c>
      <c r="C10" s="3" t="s">
        <v>36</v>
      </c>
      <c r="D10" s="3" t="n">
        <v>500</v>
      </c>
      <c r="E10" s="3" t="n">
        <v>50</v>
      </c>
      <c r="F10" s="3" t="s">
        <v>9</v>
      </c>
      <c r="G10" s="3" t="str">
        <f aca="false">LEFT(A10, 2)</f>
        <v>05</v>
      </c>
      <c r="H10" s="3" t="str">
        <f aca="false">RIGHT(A10, 2)</f>
        <v>UK</v>
      </c>
      <c r="I10" s="3" t="str">
        <f aca="false">MID(A10, 4, 3)</f>
        <v>SEP</v>
      </c>
    </row>
    <row r="11" customFormat="false" ht="13.8" hidden="false" customHeight="false" outlineLevel="0" collapsed="false">
      <c r="A11" s="4" t="s">
        <v>37</v>
      </c>
      <c r="B11" s="4" t="s">
        <v>38</v>
      </c>
      <c r="C11" s="4" t="s">
        <v>39</v>
      </c>
      <c r="D11" s="4" t="n">
        <v>130</v>
      </c>
      <c r="E11" s="4" t="n">
        <v>10</v>
      </c>
      <c r="F11" s="4" t="s">
        <v>24</v>
      </c>
      <c r="G11" s="3" t="str">
        <f aca="false">LEFT(A11, 2)</f>
        <v>14</v>
      </c>
      <c r="H11" s="3" t="str">
        <f aca="false">RIGHT(A11, 2)</f>
        <v>UK</v>
      </c>
      <c r="I11" s="3" t="str">
        <f aca="false">MID(A11, 4, 3)</f>
        <v>OCT</v>
      </c>
    </row>
    <row r="12" customFormat="false" ht="13.8" hidden="false" customHeight="false" outlineLevel="0" collapsed="false">
      <c r="A12" s="3" t="s">
        <v>40</v>
      </c>
      <c r="B12" s="3" t="s">
        <v>7</v>
      </c>
      <c r="C12" s="3" t="s">
        <v>41</v>
      </c>
      <c r="D12" s="3" t="n">
        <v>950</v>
      </c>
      <c r="E12" s="3" t="n">
        <v>25</v>
      </c>
      <c r="F12" s="3" t="s">
        <v>9</v>
      </c>
      <c r="G12" s="3" t="str">
        <f aca="false">LEFT(A12, 2)</f>
        <v>17</v>
      </c>
      <c r="H12" s="3" t="str">
        <f aca="false">RIGHT(A12, 2)</f>
        <v>IN</v>
      </c>
      <c r="I12" s="3" t="str">
        <f aca="false">MID(A12, 4, 3)</f>
        <v>JUN</v>
      </c>
    </row>
    <row r="13" customFormat="false" ht="13.8" hidden="false" customHeight="false" outlineLevel="0" collapsed="false">
      <c r="A13" s="4" t="s">
        <v>42</v>
      </c>
      <c r="B13" s="4" t="s">
        <v>11</v>
      </c>
      <c r="C13" s="4" t="s">
        <v>30</v>
      </c>
      <c r="D13" s="4" t="n">
        <v>90</v>
      </c>
      <c r="E13" s="4" t="n">
        <v>40</v>
      </c>
      <c r="F13" s="4" t="s">
        <v>13</v>
      </c>
      <c r="G13" s="3" t="str">
        <f aca="false">LEFT(A13, 2)</f>
        <v>25</v>
      </c>
      <c r="H13" s="3" t="str">
        <f aca="false">RIGHT(A13, 2)</f>
        <v>AU</v>
      </c>
      <c r="I13" s="3" t="str">
        <f aca="false">MID(A13, 4, 3)</f>
        <v>NOV</v>
      </c>
    </row>
    <row r="14" customFormat="false" ht="13.8" hidden="false" customHeight="false" outlineLevel="0" collapsed="false">
      <c r="A14" s="3" t="s">
        <v>43</v>
      </c>
      <c r="B14" s="3" t="s">
        <v>15</v>
      </c>
      <c r="C14" s="3" t="s">
        <v>44</v>
      </c>
      <c r="D14" s="3" t="n">
        <v>120</v>
      </c>
      <c r="E14" s="3" t="n">
        <v>35</v>
      </c>
      <c r="F14" s="3" t="s">
        <v>17</v>
      </c>
      <c r="G14" s="3" t="str">
        <f aca="false">LEFT(A14, 2)</f>
        <v>08</v>
      </c>
      <c r="H14" s="3" t="str">
        <f aca="false">RIGHT(A14, 2)</f>
        <v>DE</v>
      </c>
      <c r="I14" s="3" t="str">
        <f aca="false">MID(A14, 4, 3)</f>
        <v>DEC</v>
      </c>
    </row>
    <row r="15" customFormat="false" ht="13.8" hidden="false" customHeight="false" outlineLevel="0" collapsed="false">
      <c r="A15" s="4" t="s">
        <v>45</v>
      </c>
      <c r="B15" s="4" t="s">
        <v>46</v>
      </c>
      <c r="C15" s="4" t="s">
        <v>47</v>
      </c>
      <c r="D15" s="4" t="n">
        <v>150</v>
      </c>
      <c r="E15" s="4" t="n">
        <v>15</v>
      </c>
      <c r="F15" s="4" t="s">
        <v>9</v>
      </c>
      <c r="G15" s="3" t="str">
        <f aca="false">LEFT(A15, 2)</f>
        <v>18</v>
      </c>
      <c r="H15" s="3" t="str">
        <f aca="false">RIGHT(A15, 2)</f>
        <v>CA</v>
      </c>
      <c r="I15" s="3" t="str">
        <f aca="false">MID(A15, 4, 3)</f>
        <v>FEB</v>
      </c>
    </row>
    <row r="16" customFormat="false" ht="13.8" hidden="false" customHeight="false" outlineLevel="0" collapsed="false">
      <c r="A16" s="3" t="s">
        <v>48</v>
      </c>
      <c r="B16" s="3" t="s">
        <v>26</v>
      </c>
      <c r="C16" s="3" t="s">
        <v>49</v>
      </c>
      <c r="D16" s="3" t="n">
        <v>250</v>
      </c>
      <c r="E16" s="3" t="n">
        <v>20</v>
      </c>
      <c r="F16" s="3" t="s">
        <v>9</v>
      </c>
      <c r="G16" s="3" t="str">
        <f aca="false">LEFT(A16, 2)</f>
        <v>16</v>
      </c>
      <c r="H16" s="3" t="str">
        <f aca="false">RIGHT(A16, 2)</f>
        <v>ES</v>
      </c>
      <c r="I16" s="3" t="str">
        <f aca="false">MID(A16, 4, 3)</f>
        <v>APR</v>
      </c>
    </row>
    <row r="17" customFormat="false" ht="13.8" hidden="false" customHeight="false" outlineLevel="0" collapsed="false">
      <c r="A17" s="4" t="s">
        <v>50</v>
      </c>
      <c r="B17" s="4" t="s">
        <v>51</v>
      </c>
      <c r="C17" s="4" t="s">
        <v>52</v>
      </c>
      <c r="D17" s="4" t="n">
        <v>50</v>
      </c>
      <c r="E17" s="4" t="n">
        <v>35</v>
      </c>
      <c r="F17" s="4" t="s">
        <v>53</v>
      </c>
      <c r="G17" s="3" t="str">
        <f aca="false">LEFT(A17, 2)</f>
        <v>21</v>
      </c>
      <c r="H17" s="3" t="str">
        <f aca="false">RIGHT(A17, 2)</f>
        <v>CA</v>
      </c>
      <c r="I17" s="3" t="str">
        <f aca="false">MID(A17, 4, 3)</f>
        <v>AUG</v>
      </c>
    </row>
    <row r="18" customFormat="false" ht="13.8" hidden="false" customHeight="false" outlineLevel="0" collapsed="false">
      <c r="A18" s="3" t="s">
        <v>54</v>
      </c>
      <c r="B18" s="3" t="s">
        <v>46</v>
      </c>
      <c r="C18" s="3" t="s">
        <v>55</v>
      </c>
      <c r="D18" s="3" t="n">
        <v>160</v>
      </c>
      <c r="E18" s="3" t="n">
        <v>15</v>
      </c>
      <c r="F18" s="3" t="s">
        <v>9</v>
      </c>
      <c r="G18" s="3" t="str">
        <f aca="false">LEFT(A18, 2)</f>
        <v>20</v>
      </c>
      <c r="H18" s="3" t="str">
        <f aca="false">RIGHT(A18, 2)</f>
        <v>CN</v>
      </c>
      <c r="I18" s="3" t="str">
        <f aca="false">MID(A18, 4, 3)</f>
        <v>AUG</v>
      </c>
    </row>
    <row r="19" customFormat="false" ht="13.8" hidden="false" customHeight="false" outlineLevel="0" collapsed="false">
      <c r="A19" s="4" t="s">
        <v>56</v>
      </c>
      <c r="B19" s="4" t="s">
        <v>7</v>
      </c>
      <c r="C19" s="4" t="s">
        <v>57</v>
      </c>
      <c r="D19" s="4" t="n">
        <v>980</v>
      </c>
      <c r="E19" s="4" t="n">
        <v>10</v>
      </c>
      <c r="F19" s="4" t="s">
        <v>9</v>
      </c>
      <c r="G19" s="3" t="str">
        <f aca="false">LEFT(A19, 2)</f>
        <v>27</v>
      </c>
      <c r="H19" s="3" t="str">
        <f aca="false">RIGHT(A19, 2)</f>
        <v>IT</v>
      </c>
      <c r="I19" s="3" t="str">
        <f aca="false">MID(A19, 4, 3)</f>
        <v>JAN</v>
      </c>
    </row>
    <row r="20" customFormat="false" ht="13.8" hidden="false" customHeight="false" outlineLevel="0" collapsed="false">
      <c r="A20" s="3" t="s">
        <v>58</v>
      </c>
      <c r="B20" s="3" t="s">
        <v>59</v>
      </c>
      <c r="C20" s="3" t="s">
        <v>60</v>
      </c>
      <c r="D20" s="3" t="n">
        <v>150</v>
      </c>
      <c r="E20" s="3" t="n">
        <v>15</v>
      </c>
      <c r="F20" s="3" t="s">
        <v>13</v>
      </c>
      <c r="G20" s="3" t="str">
        <f aca="false">LEFT(A20, 2)</f>
        <v>01</v>
      </c>
      <c r="H20" s="3" t="str">
        <f aca="false">RIGHT(A20, 2)</f>
        <v>UK</v>
      </c>
      <c r="I20" s="3" t="str">
        <f aca="false">MID(A20, 4, 3)</f>
        <v>MAR</v>
      </c>
    </row>
    <row r="21" customFormat="false" ht="13.8" hidden="false" customHeight="false" outlineLevel="0" collapsed="false">
      <c r="A21" s="4" t="s">
        <v>61</v>
      </c>
      <c r="B21" s="4" t="s">
        <v>62</v>
      </c>
      <c r="C21" s="4" t="s">
        <v>63</v>
      </c>
      <c r="D21" s="4" t="n">
        <v>200</v>
      </c>
      <c r="E21" s="4" t="n">
        <v>10</v>
      </c>
      <c r="F21" s="4" t="s">
        <v>24</v>
      </c>
      <c r="G21" s="3" t="str">
        <f aca="false">LEFT(A21, 2)</f>
        <v>14</v>
      </c>
      <c r="H21" s="3" t="str">
        <f aca="false">RIGHT(A21, 2)</f>
        <v>US</v>
      </c>
      <c r="I21" s="3" t="str">
        <f aca="false">MID(A21, 4, 3)</f>
        <v>AUG</v>
      </c>
    </row>
    <row r="22" customFormat="false" ht="13.8" hidden="false" customHeight="false" outlineLevel="0" collapsed="false">
      <c r="A22" s="3" t="s">
        <v>64</v>
      </c>
      <c r="B22" s="3" t="s">
        <v>65</v>
      </c>
      <c r="C22" s="3" t="s">
        <v>66</v>
      </c>
      <c r="D22" s="3" t="n">
        <v>700</v>
      </c>
      <c r="E22" s="3" t="n">
        <v>50</v>
      </c>
      <c r="F22" s="3" t="s">
        <v>9</v>
      </c>
      <c r="G22" s="3" t="str">
        <f aca="false">LEFT(A22, 2)</f>
        <v>14</v>
      </c>
      <c r="H22" s="3" t="str">
        <f aca="false">RIGHT(A22, 2)</f>
        <v>RU</v>
      </c>
      <c r="I22" s="3" t="str">
        <f aca="false">MID(A22, 4, 3)</f>
        <v>MAY</v>
      </c>
    </row>
    <row r="23" customFormat="false" ht="13.8" hidden="false" customHeight="false" outlineLevel="0" collapsed="false">
      <c r="A23" s="4" t="s">
        <v>67</v>
      </c>
      <c r="B23" s="4" t="s">
        <v>68</v>
      </c>
      <c r="C23" s="4" t="s">
        <v>69</v>
      </c>
      <c r="D23" s="4" t="n">
        <v>80</v>
      </c>
      <c r="E23" s="4" t="n">
        <v>20</v>
      </c>
      <c r="F23" s="4" t="s">
        <v>17</v>
      </c>
      <c r="G23" s="3" t="str">
        <f aca="false">LEFT(A23, 2)</f>
        <v>09</v>
      </c>
      <c r="H23" s="3" t="str">
        <f aca="false">RIGHT(A23, 2)</f>
        <v>CA</v>
      </c>
      <c r="I23" s="3" t="str">
        <f aca="false">MID(A23, 4, 3)</f>
        <v>JAN</v>
      </c>
    </row>
    <row r="24" customFormat="false" ht="13.8" hidden="false" customHeight="false" outlineLevel="0" collapsed="false">
      <c r="A24" s="3" t="s">
        <v>70</v>
      </c>
      <c r="B24" s="3" t="s">
        <v>71</v>
      </c>
      <c r="C24" s="3" t="s">
        <v>72</v>
      </c>
      <c r="D24" s="3" t="n">
        <v>150</v>
      </c>
      <c r="E24" s="3" t="n">
        <v>30</v>
      </c>
      <c r="F24" s="3" t="s">
        <v>9</v>
      </c>
      <c r="G24" s="3" t="str">
        <f aca="false">LEFT(A24, 2)</f>
        <v>19</v>
      </c>
      <c r="H24" s="3" t="str">
        <f aca="false">RIGHT(A24, 2)</f>
        <v>BR</v>
      </c>
      <c r="I24" s="3" t="str">
        <f aca="false">MID(A24, 4, 3)</f>
        <v>JUL</v>
      </c>
    </row>
    <row r="25" customFormat="false" ht="13.8" hidden="false" customHeight="false" outlineLevel="0" collapsed="false">
      <c r="A25" s="4" t="s">
        <v>50</v>
      </c>
      <c r="B25" s="4" t="s">
        <v>51</v>
      </c>
      <c r="C25" s="4" t="s">
        <v>52</v>
      </c>
      <c r="D25" s="4" t="n">
        <v>50</v>
      </c>
      <c r="E25" s="4" t="n">
        <v>35</v>
      </c>
      <c r="F25" s="4" t="s">
        <v>53</v>
      </c>
      <c r="G25" s="3" t="str">
        <f aca="false">LEFT(A25, 2)</f>
        <v>21</v>
      </c>
      <c r="H25" s="3" t="str">
        <f aca="false">RIGHT(A25, 2)</f>
        <v>CA</v>
      </c>
      <c r="I25" s="3" t="str">
        <f aca="false">MID(A25, 4, 3)</f>
        <v>AUG</v>
      </c>
    </row>
    <row r="26" customFormat="false" ht="13.8" hidden="false" customHeight="false" outlineLevel="0" collapsed="false">
      <c r="A26" s="3" t="s">
        <v>73</v>
      </c>
      <c r="B26" s="3" t="s">
        <v>19</v>
      </c>
      <c r="C26" s="3" t="s">
        <v>74</v>
      </c>
      <c r="D26" s="3" t="n">
        <v>800</v>
      </c>
      <c r="E26" s="3" t="n">
        <v>45</v>
      </c>
      <c r="F26" s="3" t="s">
        <v>9</v>
      </c>
      <c r="G26" s="3" t="str">
        <f aca="false">LEFT(A26, 2)</f>
        <v>29</v>
      </c>
      <c r="H26" s="3" t="str">
        <f aca="false">RIGHT(A26, 2)</f>
        <v>CA</v>
      </c>
      <c r="I26" s="3" t="str">
        <f aca="false">MID(A26, 4, 3)</f>
        <v>SEP</v>
      </c>
    </row>
    <row r="27" customFormat="false" ht="13.8" hidden="false" customHeight="false" outlineLevel="0" collapsed="false">
      <c r="A27" s="4" t="s">
        <v>75</v>
      </c>
      <c r="B27" s="4" t="s">
        <v>59</v>
      </c>
      <c r="C27" s="4" t="s">
        <v>76</v>
      </c>
      <c r="D27" s="4" t="n">
        <v>130</v>
      </c>
      <c r="E27" s="4" t="n">
        <v>25</v>
      </c>
      <c r="F27" s="4" t="s">
        <v>13</v>
      </c>
      <c r="G27" s="3" t="str">
        <f aca="false">LEFT(A27, 2)</f>
        <v>03</v>
      </c>
      <c r="H27" s="3" t="str">
        <f aca="false">RIGHT(A27, 2)</f>
        <v>CA</v>
      </c>
      <c r="I27" s="3" t="str">
        <f aca="false">MID(A27, 4, 3)</f>
        <v>JUN</v>
      </c>
    </row>
    <row r="28" customFormat="false" ht="13.8" hidden="false" customHeight="false" outlineLevel="0" collapsed="false">
      <c r="A28" s="3" t="s">
        <v>77</v>
      </c>
      <c r="B28" s="3" t="s">
        <v>32</v>
      </c>
      <c r="C28" s="3" t="s">
        <v>78</v>
      </c>
      <c r="D28" s="3" t="n">
        <v>400</v>
      </c>
      <c r="E28" s="3" t="n">
        <v>40</v>
      </c>
      <c r="F28" s="3" t="s">
        <v>17</v>
      </c>
      <c r="G28" s="3" t="str">
        <f aca="false">LEFT(A28, 2)</f>
        <v>11</v>
      </c>
      <c r="H28" s="3" t="str">
        <f aca="false">RIGHT(A28, 2)</f>
        <v>CA</v>
      </c>
      <c r="I28" s="3" t="str">
        <f aca="false">MID(A28, 4, 3)</f>
        <v>JUL</v>
      </c>
    </row>
    <row r="29" customFormat="false" ht="13.8" hidden="false" customHeight="false" outlineLevel="0" collapsed="false">
      <c r="A29" s="4" t="s">
        <v>48</v>
      </c>
      <c r="B29" s="4" t="s">
        <v>26</v>
      </c>
      <c r="C29" s="4" t="s">
        <v>49</v>
      </c>
      <c r="D29" s="4" t="n">
        <v>230</v>
      </c>
      <c r="E29" s="4" t="n">
        <v>20</v>
      </c>
      <c r="F29" s="4" t="s">
        <v>9</v>
      </c>
      <c r="G29" s="3" t="str">
        <f aca="false">LEFT(A29, 2)</f>
        <v>16</v>
      </c>
      <c r="H29" s="3" t="str">
        <f aca="false">RIGHT(A29, 2)</f>
        <v>ES</v>
      </c>
      <c r="I29" s="3" t="str">
        <f aca="false">MID(A29, 4, 3)</f>
        <v>APR</v>
      </c>
    </row>
    <row r="30" customFormat="false" ht="13.8" hidden="false" customHeight="false" outlineLevel="0" collapsed="false">
      <c r="A30" s="3" t="s">
        <v>79</v>
      </c>
      <c r="B30" s="3" t="s">
        <v>80</v>
      </c>
      <c r="C30" s="3" t="s">
        <v>81</v>
      </c>
      <c r="D30" s="3" t="n">
        <v>60</v>
      </c>
      <c r="E30" s="3" t="n">
        <v>30</v>
      </c>
      <c r="F30" s="3" t="s">
        <v>13</v>
      </c>
      <c r="G30" s="3" t="str">
        <f aca="false">LEFT(A30, 2)</f>
        <v>07</v>
      </c>
      <c r="H30" s="3" t="str">
        <f aca="false">RIGHT(A30, 2)</f>
        <v>CA</v>
      </c>
      <c r="I30" s="3" t="str">
        <f aca="false">MID(A30, 4, 3)</f>
        <v>MAR</v>
      </c>
    </row>
    <row r="31" customFormat="false" ht="13.8" hidden="false" customHeight="false" outlineLevel="0" collapsed="false">
      <c r="A31" s="4" t="s">
        <v>82</v>
      </c>
      <c r="B31" s="4" t="s">
        <v>83</v>
      </c>
      <c r="C31" s="4" t="s">
        <v>84</v>
      </c>
      <c r="D31" s="4" t="n">
        <v>40</v>
      </c>
      <c r="E31" s="4" t="n">
        <v>10</v>
      </c>
      <c r="F31" s="4" t="s">
        <v>17</v>
      </c>
      <c r="G31" s="3" t="str">
        <f aca="false">LEFT(A31, 2)</f>
        <v>13</v>
      </c>
      <c r="H31" s="3" t="str">
        <f aca="false">RIGHT(A31, 2)</f>
        <v>CA</v>
      </c>
      <c r="I31" s="3" t="str">
        <f aca="false">MID(A31, 4, 3)</f>
        <v>APR</v>
      </c>
    </row>
    <row r="32" customFormat="false" ht="13.8" hidden="false" customHeight="false" outlineLevel="0" collapsed="false">
      <c r="A32" s="3" t="s">
        <v>85</v>
      </c>
      <c r="B32" s="3" t="s">
        <v>71</v>
      </c>
      <c r="C32" s="3" t="s">
        <v>86</v>
      </c>
      <c r="D32" s="3" t="n">
        <v>130</v>
      </c>
      <c r="E32" s="3" t="n">
        <v>5</v>
      </c>
      <c r="F32" s="3" t="s">
        <v>9</v>
      </c>
      <c r="G32" s="3" t="str">
        <f aca="false">LEFT(A32, 2)</f>
        <v>24</v>
      </c>
      <c r="H32" s="3" t="str">
        <f aca="false">RIGHT(A32, 2)</f>
        <v>CA</v>
      </c>
      <c r="I32" s="3" t="str">
        <f aca="false">MID(A32, 4, 3)</f>
        <v>MAY</v>
      </c>
    </row>
    <row r="33" customFormat="false" ht="13.8" hidden="false" customHeight="false" outlineLevel="0" collapsed="false">
      <c r="A33" s="4" t="s">
        <v>87</v>
      </c>
      <c r="B33" s="4" t="s">
        <v>88</v>
      </c>
      <c r="C33" s="4" t="s">
        <v>89</v>
      </c>
      <c r="D33" s="4" t="n">
        <v>50</v>
      </c>
      <c r="E33" s="4" t="n">
        <v>50</v>
      </c>
      <c r="F33" s="4" t="s">
        <v>13</v>
      </c>
      <c r="G33" s="3" t="str">
        <f aca="false">LEFT(A33, 2)</f>
        <v>02</v>
      </c>
      <c r="H33" s="3" t="str">
        <f aca="false">RIGHT(A33, 2)</f>
        <v>CA</v>
      </c>
      <c r="I33" s="3" t="str">
        <f aca="false">MID(A33, 4, 3)</f>
        <v>DEC</v>
      </c>
    </row>
    <row r="34" customFormat="false" ht="13.8" hidden="false" customHeight="false" outlineLevel="0" collapsed="false">
      <c r="A34" s="3" t="s">
        <v>40</v>
      </c>
      <c r="B34" s="3" t="s">
        <v>7</v>
      </c>
      <c r="C34" s="3" t="s">
        <v>41</v>
      </c>
      <c r="D34" s="3" t="n">
        <v>950</v>
      </c>
      <c r="E34" s="3" t="n">
        <v>25</v>
      </c>
      <c r="F34" s="3" t="s">
        <v>9</v>
      </c>
      <c r="G34" s="3" t="str">
        <f aca="false">LEFT(A34, 2)</f>
        <v>17</v>
      </c>
      <c r="H34" s="3" t="str">
        <f aca="false">RIGHT(A34, 2)</f>
        <v>IN</v>
      </c>
      <c r="I34" s="3" t="str">
        <f aca="false">MID(A34, 4, 3)</f>
        <v>JUN</v>
      </c>
    </row>
    <row r="35" customFormat="false" ht="13.8" hidden="false" customHeight="false" outlineLevel="0" collapsed="false">
      <c r="A35" s="4" t="s">
        <v>90</v>
      </c>
      <c r="B35" s="4" t="s">
        <v>91</v>
      </c>
      <c r="C35" s="4" t="s">
        <v>92</v>
      </c>
      <c r="D35" s="4" t="n">
        <v>100</v>
      </c>
      <c r="E35" s="4" t="n">
        <v>20</v>
      </c>
      <c r="F35" s="4" t="s">
        <v>53</v>
      </c>
      <c r="G35" s="3" t="str">
        <f aca="false">LEFT(A35, 2)</f>
        <v>09</v>
      </c>
      <c r="H35" s="3" t="str">
        <f aca="false">RIGHT(A35, 2)</f>
        <v>FR</v>
      </c>
      <c r="I35" s="3" t="str">
        <f aca="false">MID(A35, 4, 3)</f>
        <v>JUL</v>
      </c>
    </row>
  </sheetData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/>
  <dc:language>en-US</dc:language>
  <dcterms:modified xsi:type="dcterms:W3CDTF">2026-06-25T09:35:53Z</dcterms:modified>
  <cp:revision>6</cp:revision>
  <dc:subject/>
  <dc:title/>
</cp:coreProperties>
</file>